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Lỗi" sheetId="2" state="visible" r:id="rId2"/>
    <sheet name="Tổng hợp" sheetId="3" state="visible" r:id="rId3"/>
    <sheet name="Danh mục"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6" customWidth="1" min="1" max="1"/>
    <col width="110" customWidth="1" min="2" max="2"/>
  </cols>
  <sheetData>
    <row r="1">
      <c r="A1" s="1" t="inlineStr">
        <is>
          <t>Phiếu chấm T3 — Phân tích lỗi</t>
        </is>
      </c>
    </row>
    <row r="3">
      <c r="A3" s="2" t="inlineStr">
        <is>
          <t>Người chấm</t>
        </is>
      </c>
      <c r="B3" t="inlineStr">
        <is>
          <t>Người chấm B</t>
        </is>
      </c>
    </row>
    <row r="4">
      <c r="A4" s="2" t="inlineStr">
        <is>
          <t>Họ tên</t>
        </is>
      </c>
      <c r="B4" s="3" t="n"/>
    </row>
    <row r="5">
      <c r="A5" s="2" t="inlineStr">
        <is>
          <t>Ngày hoàn thành</t>
        </is>
      </c>
      <c r="B5" s="3" t="n"/>
    </row>
    <row r="7">
      <c r="A7" s="4" t="inlineStr">
        <is>
          <t>Mục đích</t>
        </is>
      </c>
      <c r="B7" s="5" t="inlineStr">
        <is>
          <t>Kiểm tra nhãn lỗi do máy gán tự động cho các câu mô hình trả lời sai, và chọn ví dụ minh họa cho bài báo.</t>
        </is>
      </c>
    </row>
    <row r="8">
      <c r="A8" s="4" t="inlineStr">
        <is>
          <t>Cách làm</t>
        </is>
      </c>
      <c r="B8" s="5" t="inlineStr">
        <is>
          <t>Mỗi dòng là một câu mô hình trả lời sai. Đọc câu hỏi, evidence (nếu có), schema mô hình nhận được, SQL mô hình sinh và SQL tham chiếu. Sau đó điền các ô màu vàng ở sheet "Lỗi".</t>
        </is>
      </c>
    </row>
    <row r="9">
      <c r="A9" s="4" t="inlineStr">
        <is>
          <t>Ô cần điền</t>
        </is>
      </c>
      <c r="B9" s="5" t="inlineStr">
        <is>
          <t>Nhãn lỗi đúng (chọn trong danh sách) · Câu hỏi/SQL tham chiếu có vấn đề? · Dùng làm ví dụ trong bài? · Ghi chú. Cột "Nhãn tự động đúng?" tự tính, không cần điền.</t>
        </is>
      </c>
    </row>
    <row r="10">
      <c r="A10" s="4" t="inlineStr">
        <is>
          <t>Chọn nhãn</t>
        </is>
      </c>
      <c r="B10" s="5" t="inlineStr">
        <is>
          <t>Chọn nguyên nhân chính khiến kết quả sai. Nếu có nhiều lỗi, chọn lỗi xuất hiện sớm nhất theo thứ tự danh mục dưới đây.</t>
        </is>
      </c>
    </row>
    <row r="11">
      <c r="A11" s="5" t="inlineStr"/>
      <c r="B11" s="5" t="inlineStr"/>
    </row>
    <row r="12">
      <c r="A12" s="4" t="inlineStr">
        <is>
          <t>Danh mục nhãn</t>
        </is>
      </c>
      <c r="B12" s="5" t="inlineStr"/>
    </row>
    <row r="13">
      <c r="A13" s="4" t="inlineStr">
        <is>
          <t>SQL không chạy được</t>
        </is>
      </c>
      <c r="B13" s="5" t="inlineStr">
        <is>
          <t>SQL bị lỗi cú pháp, dùng bảng/cột không tồn tại, hoặc chạy quá thời gian. Phiếu này chỉ gồm các SQL chạy được, nên nhãn này hiếm khi dùng.</t>
        </is>
      </c>
    </row>
    <row r="14">
      <c r="A14" s="4" t="inlineStr">
        <is>
          <t>Thiếu bảng cần thiết trong schema</t>
        </is>
      </c>
      <c r="B14" s="5" t="inlineStr">
        <is>
          <t>Schema mô hình nhận được thiếu một bảng mà câu trả lời đúng cần dùng (do bước lọc schema bỏ mất).</t>
        </is>
      </c>
    </row>
    <row r="15">
      <c r="A15" s="4" t="inlineStr">
        <is>
          <t>Chọn sai bảng</t>
        </is>
      </c>
      <c r="B15" s="5" t="inlineStr">
        <is>
          <t>Schema có đủ bảng nhưng mô hình dùng sai bảng hoặc thiếu/thừa bảng.</t>
        </is>
      </c>
    </row>
    <row r="16">
      <c r="A16" s="4" t="inlineStr">
        <is>
          <t>Sai cột</t>
        </is>
      </c>
      <c r="B16" s="5" t="inlineStr">
        <is>
          <t>Đúng bảng nhưng chọn sai cột (trong SELECT, JOIN hoặc điều kiện).</t>
        </is>
      </c>
    </row>
    <row r="17">
      <c r="A17" s="4" t="inlineStr">
        <is>
          <t>Sai hàm gộp hoặc GROUP BY</t>
        </is>
      </c>
      <c r="B17" s="5" t="inlineStr">
        <is>
          <t>Sai COUNT/SUM/AVG/MIN/MAX hoặc sai GROUP BY.</t>
        </is>
      </c>
    </row>
    <row r="18">
      <c r="A18" s="4" t="inlineStr">
        <is>
          <t>Sai điều kiện hoặc giá trị</t>
        </is>
      </c>
      <c r="B18" s="5" t="inlineStr">
        <is>
          <t>Sai điều kiện WHERE/HAVING: sai toán tử, sai giá trị hằng, thiếu/thừa điều kiện.</t>
        </is>
      </c>
    </row>
    <row r="19">
      <c r="A19" s="4" t="inlineStr">
        <is>
          <t>Sai sắp xếp hoặc LIMIT</t>
        </is>
      </c>
      <c r="B19" s="5" t="inlineStr">
        <is>
          <t>Sai ORDER BY, chiều sắp xếp hoặc LIMIT.</t>
        </is>
      </c>
    </row>
    <row r="20">
      <c r="A20" s="4" t="inlineStr">
        <is>
          <t>Khác</t>
        </is>
      </c>
      <c r="B20" s="5" t="inlineStr">
        <is>
          <t>Lỗi khác: DISTINCT, điều kiện JOIN, định dạng giá trị, hoặc SQL tham chiếu có vấn đề.</t>
        </is>
      </c>
    </row>
    <row r="21">
      <c r="A21" s="5" t="inlineStr"/>
      <c r="B21" s="5" t="inlineStr"/>
    </row>
    <row r="22">
      <c r="A22" s="4" t="inlineStr">
        <is>
          <t>Nhóm</t>
        </is>
      </c>
      <c r="B22" s="5" t="inlineStr">
        <is>
          <t>A: ViBIRD, model 7B — baseline đúng nhưng full sai (xem SQL của full). B: ViSpider, model 0.5B — full đúng nhưng baseline sai (xem SQL của baseline). C: sai ở cả năm config, model 7B (xem SQL của full).</t>
        </is>
      </c>
    </row>
    <row r="23">
      <c r="A23" s="4" t="inlineStr">
        <is>
          <t>Lưu ý</t>
        </is>
      </c>
      <c r="B23" s="5" t="inlineStr">
        <is>
          <t>Không trao đổi với người chấm còn lại trong khi chấm. Thời gian dự kiến khoảng 3 giờ.</t>
        </is>
      </c>
    </row>
    <row r="25">
      <c r="A25" s="2" t="inlineStr">
        <is>
          <t>Ví dụ một dòng đã chấm</t>
        </is>
      </c>
    </row>
    <row r="26">
      <c r="A26" s="6" t="inlineStr">
        <is>
          <t>Câu hỏi</t>
        </is>
      </c>
      <c r="B26" s="7" t="inlineStr">
        <is>
          <t>Có bao nhiêu ca sĩ đến từ Pháp?</t>
        </is>
      </c>
    </row>
    <row r="27">
      <c r="A27" s="6" t="inlineStr">
        <is>
          <t>SQL mô hình sinh</t>
        </is>
      </c>
      <c r="B27" s="7" t="inlineStr">
        <is>
          <t>SELECT COUNT(*) FROM singer WHERE Country = 'Pháp'</t>
        </is>
      </c>
    </row>
    <row r="28">
      <c r="A28" s="6" t="inlineStr">
        <is>
          <t>SQL tham chiếu</t>
        </is>
      </c>
      <c r="B28" s="7" t="inlineStr">
        <is>
          <t>SELECT count(*) FROM singer WHERE country = 'France'</t>
        </is>
      </c>
    </row>
    <row r="29">
      <c r="A29" s="6" t="inlineStr">
        <is>
          <t>Nhãn tự động</t>
        </is>
      </c>
      <c r="B29" s="7" t="inlineStr">
        <is>
          <t>Sai điều kiện hoặc giá trị</t>
        </is>
      </c>
    </row>
    <row r="30">
      <c r="A30" s="6" t="inlineStr">
        <is>
          <t>Nhãn lỗi đúng</t>
        </is>
      </c>
      <c r="B30" s="7" t="inlineStr">
        <is>
          <t>Sai điều kiện hoặc giá trị</t>
        </is>
      </c>
    </row>
    <row r="31">
      <c r="A31" s="6" t="inlineStr">
        <is>
          <t>Câu hỏi/SQL tham chiếu có vấn đề?</t>
        </is>
      </c>
      <c r="B31" s="7" t="inlineStr">
        <is>
          <t>Không</t>
        </is>
      </c>
    </row>
    <row r="32">
      <c r="A32" s="6" t="inlineStr">
        <is>
          <t>Dùng làm ví dụ trong bài?</t>
        </is>
      </c>
      <c r="B32" s="7" t="inlineStr">
        <is>
          <t>Có</t>
        </is>
      </c>
    </row>
    <row r="33">
      <c r="A33" s="6" t="inlineStr">
        <is>
          <t>Ghi chú</t>
        </is>
      </c>
      <c r="B33" s="7" t="inlineStr">
        <is>
          <t>Mô hình dịch giá trị sang tiếng Việt thay vì giữ giá trị trong database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0" customWidth="1" min="3" max="3"/>
    <col width="20" customWidth="1" min="4" max="4"/>
    <col width="40" customWidth="1" min="5" max="5"/>
    <col width="30" customWidth="1" min="6" max="6"/>
    <col width="60" customWidth="1" min="7" max="7"/>
    <col width="45" customWidth="1" min="8" max="8"/>
    <col width="45" customWidth="1" min="9" max="9"/>
    <col width="12" customWidth="1" min="10" max="10"/>
    <col width="22" customWidth="1" min="11" max="11"/>
    <col width="24" customWidth="1" min="12" max="12"/>
    <col width="12" customWidth="1" min="13" max="13"/>
    <col width="14" customWidth="1" min="14" max="14"/>
    <col width="12" customWidth="1" min="15" max="15"/>
    <col width="30" customWidth="1" min="16" max="16"/>
  </cols>
  <sheetData>
    <row r="1" ht="45" customHeight="1">
      <c r="A1" s="8" t="inlineStr">
        <is>
          <t>STT</t>
        </is>
      </c>
      <c r="B1" s="8" t="inlineStr">
        <is>
          <t>Nhóm</t>
        </is>
      </c>
      <c r="C1" s="8" t="inlineStr">
        <is>
          <t>Dataset</t>
        </is>
      </c>
      <c r="D1" s="8" t="inlineStr">
        <is>
          <t>Model / config</t>
        </is>
      </c>
      <c r="E1" s="8" t="inlineStr">
        <is>
          <t>Câu hỏi</t>
        </is>
      </c>
      <c r="F1" s="8" t="inlineStr">
        <is>
          <t>Evidence</t>
        </is>
      </c>
      <c r="G1" s="8" t="inlineStr">
        <is>
          <t>Schema mô hình nhận được</t>
        </is>
      </c>
      <c r="H1" s="8" t="inlineStr">
        <is>
          <t>SQL mô hình sinh</t>
        </is>
      </c>
      <c r="I1" s="8" t="inlineStr">
        <is>
          <t>SQL tham chiếu</t>
        </is>
      </c>
      <c r="J1" s="8" t="inlineStr">
        <is>
          <t>Trạng thái thực thi</t>
        </is>
      </c>
      <c r="K1" s="8" t="inlineStr">
        <is>
          <t>Nhãn tự động</t>
        </is>
      </c>
      <c r="L1" s="9" t="inlineStr">
        <is>
          <t>Nhãn lỗi đúng</t>
        </is>
      </c>
      <c r="M1" s="8" t="inlineStr">
        <is>
          <t>Nhãn tự động đúng?</t>
        </is>
      </c>
      <c r="N1" s="9" t="inlineStr">
        <is>
          <t>Câu hỏi/SQL tham chiếu có vấn đề?</t>
        </is>
      </c>
      <c r="O1" s="9" t="inlineStr">
        <is>
          <t>Dùng làm ví dụ trong bài?</t>
        </is>
      </c>
      <c r="P1" s="9" t="inlineStr">
        <is>
          <t>Ghi chú</t>
        </is>
      </c>
    </row>
    <row r="2" ht="150" customHeight="1">
      <c r="A2" s="10" t="n">
        <v>1</v>
      </c>
      <c r="B2" s="10" t="inlineStr">
        <is>
          <t>A</t>
        </is>
      </c>
      <c r="C2" s="10" t="inlineStr">
        <is>
          <t>ViBIRD</t>
        </is>
      </c>
      <c r="D2" s="10" t="inlineStr">
        <is>
          <t>Qwen2.5-Coder-7B / full</t>
        </is>
      </c>
      <c r="E2" s="10" t="inlineStr">
        <is>
          <t>Địa chỉ đầy đủ của trường có tỷ lệ xuất sắc thấp nhất là gì? Hãy cho biết Street, City, Zip và State.</t>
        </is>
      </c>
      <c r="F2" s="10" t="inlineStr">
        <is>
          <t>Tỷ lệ xuất sắc = NumGE1500 / NumTstTakr; địa chỉ đầy đủ có Street, City, State, Zip code</t>
        </is>
      </c>
      <c r="G2" s="10" t="inlineStr">
        <is>
          <t>Table: satscores (Kết quả kỳ thi SAT)
  - cds TEXT | alias: Mã trung tâm, Mã học viện, Mã cơ sở giáo dục | values: 01100170000000, 01100170109835, 01100170112607 | -- Mã duy nhất của trung tâm hoặc cơ sở giáo dục.
  - dname TEXT | alias: Tên đơn vị hành chính, Tên quận, Tên thành phố | values: Alameda County Office of Education, Alameda Unified, Albany City Unified | -- Tên đơn vị hành chính nơi trường hoặc học viện nằm.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StreetAbr TEXT | alias: Địa chỉ ngắn gọn, Địa chỉ rút gọn, Địa chỉ tắt | values: 313 West Winton Ave., 39899 Balentine Dr., Ste. 335, 1515 Webster St. | -- Địa chỉ của trường học được viết tắt hoặc rút gọn.
  - City TEXT | alias: Thành phố, Thành phố, Thành phố học | values: Hayward, Newark, Oakland | -- Tên thành phố nơi trường học nằm.
  - Zip TEXT | alias: Mã bưu chính, Mã ZIP, Mã bưu điện | values: 94544-1136, 94560-5359, 94612-3355 | -- Mã bưu chính của địa chỉ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2" s="10" t="inlineStr">
        <is>
          <t>SELECT Street, City, Zip, MailState 
FROM schools 
JOIN satscores ON schools.CDSCode = satscores.cds 
WHERE Street IS NOT NULL AND City IS NOT NULL AND MailState IS NOT NULL AND Zip IS NOT NULL 
ORDER BY (NumGE1500 / NumTstTakr) ASC 
LIMIT 1;</t>
        </is>
      </c>
      <c r="I2" s="10" t="inlineStr">
        <is>
          <t>SELECT T2.Street, T2.City, T2.State, T2.Zip FROM satscores AS T1 INNER JOIN schools AS T2 ON T1.cds = T2.CDSCode ORDER BY CAST(T1.NumGE1500 AS REAL) / T1.NumTstTakr ASC LIMIT 1</t>
        </is>
      </c>
      <c r="J2" s="10" t="inlineStr">
        <is>
          <t>ok</t>
        </is>
      </c>
      <c r="K2" s="10" t="inlineStr">
        <is>
          <t>Sai cột</t>
        </is>
      </c>
      <c r="L2" s="11" t="n"/>
      <c r="M2" s="10">
        <f>IF(L2="","",IF(L2=K2,"Có","Không"))</f>
        <v/>
      </c>
      <c r="N2" s="11" t="n"/>
      <c r="O2" s="11" t="n"/>
      <c r="P2" s="11" t="n"/>
    </row>
    <row r="3" ht="150" customHeight="1">
      <c r="A3" s="10" t="n">
        <v>2</v>
      </c>
      <c r="B3" s="10" t="inlineStr">
        <is>
          <t>A</t>
        </is>
      </c>
      <c r="C3" s="10" t="inlineStr">
        <is>
          <t>ViBIRD</t>
        </is>
      </c>
      <c r="D3" s="10" t="inlineStr">
        <is>
          <t>Qwen2.5-Coder-7B / full</t>
        </is>
      </c>
      <c r="E3" s="10" t="inlineStr">
        <is>
          <t>Điểm viết trung bình của từng trường do Ricci Ulrich quản lý là bao nhiêu? Hãy liệt kê các trường và điểm viết trung bình tương ứng.</t>
        </is>
      </c>
      <c r="F3" s="10" t="inlineStr">
        <is>
          <t>Thường thì các nhà quản lý phụ trách các công việc của trường.</t>
        </is>
      </c>
      <c r="G3" s="10"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AvgScrRead INTEGER | alias: Điểm trung bình môn đọc hiểu, Điểm môn đọc, Điểm môn hiểu văn | values: 418, 503, 397 | -- Điểm trung bình của thí sinh trong phần đọc hiểu của kỳ thi SAT.
  - AvgScrMath INTEGER | alias: Điểm trung bình môn toán, Điểm môn toán, Điểm môn giải tích | values: 418, 546, 387 | -- Điểm trung bình của thí sinh trong phần toán của kỳ thi SAT.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District TEXT | alias: Huyện, Huyện quản lý, Huyện giáo dục | values: Alameda County Office of Education, California School for the Blind (State Special Schl), California School for the Deaf-Fremont (State Special Schl) | -- Tên huyện hoặc đơn vị quản lý giáo dục của trường học.
  - School TEXT | alias: Tên trường, Tên trường học, Tên trường | values: FAME Public Charter, Envision Academy for Arts &amp; Technology, Aspire California College Preparatory Academy | -- Tên đầy đủ của trường học.
  - Charter INTEGER | alias: Trường công lập, Trường công, Trường nhà nước | values: 1, 0 | -- Biểu thị trường học là trường công lập (1) hay tư thục (0).
  - EILCode TEXT | alias: Mã EIL, Mã tổ chức, Mã EIL | values: ELEMHIGH, HS, ELEM | -- Mã tổ chức giáo dục của trường.
  - LastUpdate DATE | alias: Ngày cập nhật, Ngày sửa đổi, Ngày cập nhật thông tin | values: 2015-06-23, 2015-09-01, 2015-06-18 | -- Ngày cuối cùng thông tin về trường học được cập nhật.
Foreign keys:
  satscores.cds = schools.CDSCode</t>
        </is>
      </c>
      <c r="H3" s="10" t="inlineStr">
        <is>
          <t>SELECT s.School, ss.AvgScrWrite
FROM satscores ss
JOIN schools s ON ss.cds = s.CDSCode
WHERE s.School LIKE '%Ricci Ulrich%';</t>
        </is>
      </c>
      <c r="I3" s="10" t="inlineStr">
        <is>
          <t>SELECT T2.School, T1.AvgScrWrite FROM satscores AS T1 INNER JOIN schools AS T2 ON T1.cds = T2.CDSCode WHERE T2.AdmFName1 = 'Ricci' AND T2.AdmLName1 = 'Ulrich'</t>
        </is>
      </c>
      <c r="J3" s="10" t="inlineStr">
        <is>
          <t>ok</t>
        </is>
      </c>
      <c r="K3" s="10" t="inlineStr">
        <is>
          <t>Sai cột</t>
        </is>
      </c>
      <c r="L3" s="11" t="n"/>
      <c r="M3" s="10">
        <f>IF(L3="","",IF(L3=K3,"Có","Không"))</f>
        <v/>
      </c>
      <c r="N3" s="11" t="n"/>
      <c r="O3" s="11" t="n"/>
      <c r="P3" s="11" t="n"/>
    </row>
    <row r="4" ht="150" customHeight="1">
      <c r="A4" s="10" t="n">
        <v>3</v>
      </c>
      <c r="B4" s="10" t="inlineStr">
        <is>
          <t>A</t>
        </is>
      </c>
      <c r="C4" s="10" t="inlineStr">
        <is>
          <t>ViBIRD</t>
        </is>
      </c>
      <c r="D4" s="10" t="inlineStr">
        <is>
          <t>Qwen2.5-Coder-7B / full</t>
        </is>
      </c>
      <c r="E4" s="10" t="inlineStr">
        <is>
          <t>Vùng của khách hàng có id 3541 là gì?</t>
        </is>
      </c>
      <c r="F4" s="10" t="inlineStr">
        <is>
          <t>A3 tham chiếu tới region</t>
        </is>
      </c>
      <c r="G4" s="10" t="inlineStr">
        <is>
          <t>Table: client (Khách hàng)
  - client_id INTEGER | alias: Mã khách hàng, ID khách hàng, Số khách hàng | values: 1, 2, 3 | -- Mã duy nhất để xác định mỗi khách hàng
  - gender TEXT | alias: Giới tính, Phái, Giới tính khách hàng | values: F, M | -- Giới tính của khách hàng (nam hoặc nữ)
  - birth_date DATE | alias: Ngày sinh, Ngày sinh nhật, Ngày ra đời | values: 1970-12-13, 1945-02-04, 1940-10-09 | -- Ngày sinh của khách hàng
  - district_id INTEGER | alias: Mã quận, ID quận, Mã khu vực | values: 18, 1, 5 | -- Mã duy nhất để xác định quận của khách hàng
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district (Quận_Huyện)
  - district_id INTEGER | alias: Mã_Quận, Mã_QH, ID_Quận | values: 1, 2, 3 | -- Mã duy nhất xác định mỗi quận hoặc huyện.
  - A4 TEXT | alias: Mã_Tỉnh_Quận, Mã_Tỉnh, Mã_Khu_Vực | values: 1204953, 88884, 75232 | -- Mã số duy nhất xác định tỉnh hoặc khu vực.
  - A14 INTEGER | alias: Số nguyên, Số nguyên tố, Số nguyên | values: 167, 132, 111 | -- Giá trị số nguyên được ghi nhận trong quận.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Foreign keys:
  client.district_id = district.district_id
  disp.client_id = client.client_id
  disp.account_id = account.account_id
  order.account_id = account.account_id</t>
        </is>
      </c>
      <c r="H4" s="10" t="inlineStr">
        <is>
          <t>SELECT T2.A4 FROM client AS T1 JOIN district AS T2 ON T1.district_id = T2.district_id WHERE T1.client_id = 3541;</t>
        </is>
      </c>
      <c r="I4" s="10" t="inlineStr">
        <is>
          <t>SELECT T1.A3 FROM district AS T1 INNER JOIN client AS T2 ON T1.district_id = T2.district_id WHERE T2.client_id = 3541</t>
        </is>
      </c>
      <c r="J4" s="10" t="inlineStr">
        <is>
          <t>ok</t>
        </is>
      </c>
      <c r="K4" s="10" t="inlineStr">
        <is>
          <t>Sai cột</t>
        </is>
      </c>
      <c r="L4" s="11" t="n"/>
      <c r="M4" s="10">
        <f>IF(L4="","",IF(L4=K4,"Có","Không"))</f>
        <v/>
      </c>
      <c r="N4" s="11" t="n"/>
      <c r="O4" s="11" t="n"/>
      <c r="P4" s="11" t="n"/>
    </row>
    <row r="5" ht="150" customHeight="1">
      <c r="A5" s="10" t="n">
        <v>4</v>
      </c>
      <c r="B5" s="10" t="inlineStr">
        <is>
          <t>A</t>
        </is>
      </c>
      <c r="C5" s="10" t="inlineStr">
        <is>
          <t>ViBIRD</t>
        </is>
      </c>
      <c r="D5" s="10" t="inlineStr">
        <is>
          <t>Qwen2.5-Coder-7B / full</t>
        </is>
      </c>
      <c r="E5" s="10" t="inlineStr">
        <is>
          <t>Tần suất tài khoản số 3 yêu cầu phát hành báo cáo tài khoản là bao nhiêu? Mục đích ghi nợ tổng cộng 3539 là gì?</t>
        </is>
      </c>
      <c r="F5" s="10" t="inlineStr">
        <is>
          <t>k_symbol tham chiếu đến mục đích thanh toán</t>
        </is>
      </c>
      <c r="G5" s="10" t="inlineStr">
        <is>
          <t>Table: disp (Dữ liệu phân phối)
  - disp_id INTEGER | alias: Mã phân phối, ID phân phối, Mã DP | values: 1, 2, 3 | -- Mã duy nhất để xác định mỗi bản ghi phân phối.
  - client_id INTEGER | alias: Mã khách hàng, ID khách hàng, Mã KH | values: 1, 2, 3 | -- Mã duy nhất để xác định mỗi khách hàng trong hệ thống.
  - account_id INTEGER | alias: Mã tài khoản, ID tài khoản, Mã TK | values: 1, 2, 3 | -- Mã duy nhất để xác định mỗi tài khoản trong hệ thống.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 payments REAL | alias: Số tiền mỗi kỳ thanh toán, Tiền thanh toán, Số tiền mỗi lần | values: 3373.0, 2523.0, 5308.0 | -- Số tiền cần thanh toán mỗi kỳ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disp.client_id = client.client_id
  disp.account_id = account.account_id
  loan.account_id = account.account_id
  order.account_id = account.account_id
  trans.account_id = account.account_id</t>
        </is>
      </c>
      <c r="H5" s="10" t="inlineStr">
        <is>
          <t>SELECT COUNT(*) AS frequency FROM trans WHERE account_id = 3 AND k_symbol = 'FIRMS';</t>
        </is>
      </c>
      <c r="I5" s="10" t="inlineStr">
        <is>
          <t>SELECT T1.frequency, T2.k_symbol FROM account AS T1 INNER JOIN (SELECT account_id, k_symbol, SUM(amount) AS total_amount FROM `order` GROUP BY account_id, k_symbol) AS T2 ON T1.account_id = T2.account_id WHERE T1.account_id = 3 AND T2.total_amount = 3539</t>
        </is>
      </c>
      <c r="J5" s="10" t="inlineStr">
        <is>
          <t>ok</t>
        </is>
      </c>
      <c r="K5" s="10" t="inlineStr">
        <is>
          <t>Thiếu bảng cần thiết trong schema</t>
        </is>
      </c>
      <c r="L5" s="11" t="n"/>
      <c r="M5" s="10">
        <f>IF(L5="","",IF(L5=K5,"Có","Không"))</f>
        <v/>
      </c>
      <c r="N5" s="11" t="n"/>
      <c r="O5" s="11" t="n"/>
      <c r="P5" s="11" t="n"/>
    </row>
    <row r="6" ht="150" customHeight="1">
      <c r="A6" s="10" t="n">
        <v>5</v>
      </c>
      <c r="B6" s="10" t="inlineStr">
        <is>
          <t>A</t>
        </is>
      </c>
      <c r="C6" s="10" t="inlineStr">
        <is>
          <t>ViBIRD</t>
        </is>
      </c>
      <c r="D6" s="10" t="inlineStr">
        <is>
          <t>Qwen2.5-Coder-7B / full</t>
        </is>
      </c>
      <c r="E6" s="10" t="inlineStr">
        <is>
          <t>Có bao nhiêu tài khoản ở Beroun được mở sau năm 1996?</t>
        </is>
      </c>
      <c r="F6" s="10" t="inlineStr">
        <is>
          <t>(no evidence)</t>
        </is>
      </c>
      <c r="G6" s="10" t="inlineStr">
        <is>
          <t>Table: account (Tài_Khoản)
  - account_id INTEGER | alias: Mã_Tài_Khoản, ID_Tài_Khoản, Số_Tài_Khoản | values: 1, 2, 3 | -- Mã duy nhất để xác định tài khoản.
  - district_id INTEGER | alias: Mã_Huyện, ID_Huyện, Số_Huyện | values: 18, 1, 5 | -- Mã duy nhất để xác định huyện liên quan đến tài khoản.
Table: loan (Hóa đơn vay)
  - loan_id INTEGER | alias: Mã hóa đơn vay, Mã vay, ID vay | values: 4959, 4961, 4962 | -- Mã duy nhất để xác định mỗi hóa đơn vay.
  - account_id INTEGER | alias: Mã tài khoản, ID tài khoản, Số tài khoản | values: 2, 19, 25 | -- Mã duy nhất để xác định mỗi tài khoản khách hàng.
  - amount INTEGER | alias: Số tiền vay, Tổng số tiền, Số tiền | values: 80952, 30276, 318480 | -- Số tiền mà khách hàng đã vay theo hóa đơn vay.
Table: order (Dữ liệu đơn hàng)
  - order_id INTEGER | alias: Mã đơn hàng, ID đơn hàng, Số đơn hàng | values: 29401, 29402, 29403 | -- Mã duy nhất để xác định mỗi đơn hàng
  - account_id INTEGER | alias: Mã tài khoản, ID tài khoản, Số tài khoản | values: 1, 2, 3 | -- Mã duy nhất để xác định mỗi tài khoản khách hàng
  - bank_to TEXT | alias: Ngân hàng nhận, Ngân hàng đến, Ngân hàng nhận tiền | values: YZ, ST, QR | -- Tên hoặc mã ngân hàng nơi nhận tiền
  - account_to INTEGER | alias: Tài khoản nhận, Số tài khoản nhận, Tài khoản đến | values: 87144583, 89597016, 13943797 | -- Số tài khoản nơi nhận tiền
  - amount REAL | alias: Số tiền, Số tiền giao dịch, Số tiền chuyển | values: 2452.0, 3372.7, 7266.0 | -- Số tiền được chuyển trong mỗi giao dịch
Table: trans (Giao Dich)
  - trans_id INTEGER | alias: ID Giao Dich, Mã Giao Dịch, Số Giao Dịch | values: 1, 5, 6 | -- Mã duy nhất để xác định mỗi giao dịch.
  - account_id INTEGER | alias: ID Tài Khoản, Mã Tài Khoản, Số Tài Khoản | values: 1, 2, 3 | -- Mã duy nhất để xác định tài khoản liên quan đến giao dịch.
  - balance INTEGER | alias: Số dư, Dư Số, Số Dư Tài Khoản | values: 1000, 4679, 20977 | -- Số dư tài khoản sau khi thực hiện giao dịch.
  - account INTEGER | alias: Số Tài Khoản, Mã Tài Khoản, Tài Khoản Giao Dịch | values: 41403269, 87144583, 66487163 | -- Số tài khoản liên quan đến giao dịch.
Foreign keys:
  account.district_id = district.district_id
  loan.account_id = account.account_id
  order.account_id = account.account_id
  trans.account_id = account.account_id</t>
        </is>
      </c>
      <c r="H6" s="10" t="inlineStr">
        <is>
          <t>SELECT COUNT(*) FROM account WHERE district_id = 1 AND account_id &gt; 1996;</t>
        </is>
      </c>
      <c r="I6" s="10" t="inlineStr">
        <is>
          <t>SELECT COUNT(account_id) FROM account AS T1 INNER JOIN district AS T2 ON T1.district_id = T2.district_id WHERE STRFTIME('%Y', T1.date) &gt; '1996' AND T2.A2 = 'Beroun'</t>
        </is>
      </c>
      <c r="J6" s="10" t="inlineStr">
        <is>
          <t>ok</t>
        </is>
      </c>
      <c r="K6" s="10" t="inlineStr">
        <is>
          <t>Thiếu bảng cần thiết trong schema</t>
        </is>
      </c>
      <c r="L6" s="11" t="n"/>
      <c r="M6" s="10">
        <f>IF(L6="","",IF(L6=K6,"Có","Không"))</f>
        <v/>
      </c>
      <c r="N6" s="11" t="n"/>
      <c r="O6" s="11" t="n"/>
      <c r="P6" s="11" t="n"/>
    </row>
    <row r="7" ht="150" customHeight="1">
      <c r="A7" s="10" t="n">
        <v>6</v>
      </c>
      <c r="B7" s="10" t="inlineStr">
        <is>
          <t>A</t>
        </is>
      </c>
      <c r="C7" s="10" t="inlineStr">
        <is>
          <t>ViBIRD</t>
        </is>
      </c>
      <c r="D7" s="10" t="inlineStr">
        <is>
          <t>Qwen2.5-Coder-7B / full</t>
        </is>
      </c>
      <c r="E7" s="10" t="inlineStr">
        <is>
          <t>Những liên kết nào có phosphorus và nitrogen là các nguyên tử của chúng?</t>
        </is>
      </c>
      <c r="F7" s="10" t="inlineStr">
        <is>
          <t>có phosphorus là nguyên tử tương ứng với element = 'p'; có nitrogen là nguyên tử tương ứng với element = 'n'</t>
        </is>
      </c>
      <c r="G7"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7" s="10" t="inlineStr">
        <is>
          <t>SELECT b.bond_id, b.bond_type
FROM bond b
JOIN connected c ON b.bond_id = c.bond_id
JOIN atom a ON c.atom_id = a.atom_id AND a.element = 'p'
JOIN atom a2 ON c.atom_id2 = a2.atom_id AND a2.element = 'n';</t>
        </is>
      </c>
      <c r="I7" s="10" t="inlineStr">
        <is>
          <t>SELECT T2.bond_id FROM atom AS T1 INNER JOIN connected AS T2 ON T1.atom_id = T2.atom_id WHERE T2.bond_id IN ( SELECT T3.bond_id FROM connected AS T3 INNER JOIN atom AS T4 ON T3.atom_id = T4.atom_id WHERE T4.element = 'p' ) AND T1.element = 'n'</t>
        </is>
      </c>
      <c r="J7" s="10" t="inlineStr">
        <is>
          <t>ok</t>
        </is>
      </c>
      <c r="K7" s="10" t="inlineStr">
        <is>
          <t>Chọn sai bảng</t>
        </is>
      </c>
      <c r="L7" s="11" t="n"/>
      <c r="M7" s="10">
        <f>IF(L7="","",IF(L7=K7,"Có","Không"))</f>
        <v/>
      </c>
      <c r="N7" s="11" t="n"/>
      <c r="O7" s="11" t="n"/>
      <c r="P7" s="11" t="n"/>
    </row>
    <row r="8" ht="150" customHeight="1">
      <c r="A8" s="10" t="n">
        <v>7</v>
      </c>
      <c r="B8" s="10" t="inlineStr">
        <is>
          <t>A</t>
        </is>
      </c>
      <c r="C8" s="10" t="inlineStr">
        <is>
          <t>ViBIRD</t>
        </is>
      </c>
      <c r="D8" s="10" t="inlineStr">
        <is>
          <t>Qwen2.5-Coder-7B / full</t>
        </is>
      </c>
      <c r="E8" s="10" t="inlineStr">
        <is>
          <t>Tỷ lệ phần trăm của nguyên tố clo trong các phân tử có liên kết đơn là bao nhiêu?</t>
        </is>
      </c>
      <c r="F8" s="10" t="inlineStr">
        <is>
          <t>nguyên tố clo tham chiếu tới element = 'cl'; liên kết đơn tham chiếu tới bond_type = '-'; phần trăm = DIVIDE(SUM(element = 'cl'), COUNT(atom_id)) as percent where bond_type = '-'</t>
        </is>
      </c>
      <c r="G8"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Foreign keys:
  atom.molecule_id = molecule.molecule_id
  bond.molecule_id = molecule.molecule_id
  connected.atom_id = atom.atom_id
  connected.atom_id2 = atom.atom_id
  connected.bond_id = bond.bond_id</t>
        </is>
      </c>
      <c r="H8" s="10" t="inlineStr">
        <is>
          <t>SELECT CAST(SUM(CASE WHEN T1.element = 'cl' THEN 1 ELSE 0 END) AS REAL) * 100 / COUNT(T1.atom_id) AS percent 
FROM atom AS T1 
JOIN connected AS T2 ON T1.atom_id = T2.atom_id 
JOIN bond AS T3 ON T2.bond_id = T3.bond_id 
WHERE T3.bond_type = '-';</t>
        </is>
      </c>
      <c r="I8" s="10"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J8" s="10" t="inlineStr">
        <is>
          <t>ok</t>
        </is>
      </c>
      <c r="K8" s="10" t="inlineStr">
        <is>
          <t>Chọn sai bảng</t>
        </is>
      </c>
      <c r="L8" s="11" t="n"/>
      <c r="M8" s="10">
        <f>IF(L8="","",IF(L8=K8,"Có","Không"))</f>
        <v/>
      </c>
      <c r="N8" s="11" t="n"/>
      <c r="O8" s="11" t="n"/>
      <c r="P8" s="11" t="n"/>
    </row>
    <row r="9" ht="150" customHeight="1">
      <c r="A9" s="10" t="n">
        <v>8</v>
      </c>
      <c r="B9" s="10" t="inlineStr">
        <is>
          <t>A</t>
        </is>
      </c>
      <c r="C9" s="10" t="inlineStr">
        <is>
          <t>ViBIRD</t>
        </is>
      </c>
      <c r="D9" s="10" t="inlineStr">
        <is>
          <t>Qwen2.5-Coder-7B / full</t>
        </is>
      </c>
      <c r="E9" s="10" t="inlineStr">
        <is>
          <t>Những thẻ bài nào chỉ có sẵn trên giấy và ngôn ngữ tiếng Nhật?</t>
        </is>
      </c>
      <c r="F9" s="10" t="inlineStr">
        <is>
          <t>có sẵn trên giấy ám chỉ availability = 'paper'; 'Japanese' là ngôn ngữ;</t>
        </is>
      </c>
      <c r="G9" s="10" t="inlineStr">
        <is>
          <t>Table: cards (Thẻ Bài)
  - id INTEGER | alias: Mã Thẻ, ID, Số Thẻ | values: 41138, 1349, 23810 | -- Mã duy nhất xác định mỗi thẻ bài.
  - asciiName TEXT | alias: Tên ASCII, Tên ASCII, Tên Đơn Thuần | values: El-Hajjaj, Junun Efreet, Dandan | -- Tên của thẻ bài được viết dưới dạng chữ cái thường.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isOnlineOnly INTEGER | alias: Chỉ có thể mua online, Chỉ bán trực tuyến, Không có sẵn tại cửa hàng | values: 0, 1 | -- Indicates whether the card can only be purchased online.
  - mtgjsonV4Id TEXT | alias: ID_MTGJSON_V4, ID_MTGJSON, ID_V4 | values: ad41be73-582f-58ed-abd4-a88c1f616ac3, 9eb2e54c-a12b-5e88-a9c0-d8c84c52d59c, c0de6fd8-367a-50fb-b2f4-2b8fa5aeb7d9 | -- Mã duy nhất trong cơ sở dữ liệu MTGJSON V4.
  - mtgoFoilId TEXT | alias: ID_Foil_MTGO, ID_Foil, ID_MTGO | values: 27501, 26993, 27473 | -- Mã duy nhất cho phiên bản lấp lánh trong MTGO.
  - mtgoId TEXT | alias: ID_MTGO, ID_MTGO, Mã_MTGO | values: 27500, 26992, 27472 | -- Mã duy nhất trong hệ thống MTGO.
  - printings TEXT | alias: In_ấn, In ấn, Bản in | values: 10E,JUD,UMA, 10E,8ED,9ED,DDC,DVD,IMA,INV,JMP,MB1,P02,PS11,PSAL,S99, 10E,8ED,9ED,ODY | -- Danh sách các bộ in ấn mà thẻ bài xuất hiện.
  - variations TEXT | alias: Phiên bản, Loại, Kiểu | values: b7c19924-b4bf-56fc-aa73-f586e940bd42, 8fd4e2eb-3eb4-50ea-856b-ef638fa47f8a, 6adaf14d-43e3-521a-adf1-960c808e5b1a | -- Danh sách các phiên bản của thẻ bài.</t>
        </is>
      </c>
      <c r="H9" s="10" t="inlineStr">
        <is>
          <t>SELECT * FROM cards WHERE availability = 'paper';</t>
        </is>
      </c>
      <c r="I9" s="10" t="inlineStr">
        <is>
          <t>SELECT T1.name FROM cards AS T1 INNER JOIN foreign_data AS T2 ON T1.uuid = T2.uuid WHERE T1.availability = 'paper' AND T2.language = 'Japanese'</t>
        </is>
      </c>
      <c r="J9" s="10" t="inlineStr">
        <is>
          <t>ok</t>
        </is>
      </c>
      <c r="K9" s="10" t="inlineStr">
        <is>
          <t>Thiếu bảng cần thiết trong schema</t>
        </is>
      </c>
      <c r="L9" s="11" t="n"/>
      <c r="M9" s="10">
        <f>IF(L9="","",IF(L9=K9,"Có","Không"))</f>
        <v/>
      </c>
      <c r="N9" s="11" t="n"/>
      <c r="O9" s="11" t="n"/>
      <c r="P9" s="11" t="n"/>
    </row>
    <row r="10" ht="150" customHeight="1">
      <c r="A10" s="10" t="n">
        <v>9</v>
      </c>
      <c r="B10" s="10" t="inlineStr">
        <is>
          <t>A</t>
        </is>
      </c>
      <c r="C10" s="10" t="inlineStr">
        <is>
          <t>ViBIRD</t>
        </is>
      </c>
      <c r="D10" s="10" t="inlineStr">
        <is>
          <t>Qwen2.5-Coder-7B / full</t>
        </is>
      </c>
      <c r="E10" s="10" t="inlineStr">
        <is>
          <t>Có bao nhiêu thẻ có rarity in trên bản in và có ruling text được in ngày 01/02/2007?</t>
        </is>
      </c>
      <c r="F10" s="10" t="inlineStr">
        <is>
          <t>với rarity in trên bản in tương ứng với rarity = 'rare'; ngày 01/02/2007 tương ứng với date = '2007-02-01'</t>
        </is>
      </c>
      <c r="G10" s="10" t="inlineStr">
        <is>
          <t>Table: cards (Thẻ Bài)
  - id INTEGER | alias: Mã Thẻ, ID, Số Thẻ | values: 41138, 1349, 23810 | -- Mã duy nhất xác định mỗi thẻ bài.
  - hasContentWarning INTEGER | alias: Cảnh_caution, Cảnh_caution, Nội_dung_cảnh_báo | values: 0, 1 | -- Trường hợp có cảnh báo nội dung cho thẻ này.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 toughness TEXT | alias: Độ_Dẻo_Giòn, Độ_Dẻo, Độ_Giòn | values: 4, 3, 2 | -- Số điểm sức mạnh mà thẻ có thể chịu đựng trước khi bị phá hủy.
Table: rulings (Quyết định)
  - id INTEGER | alias: Mã quyết định, ID, Số quyết định | values: 1, 2, 3 | -- Mã duy nhất để xác định mỗi quyết định.
  - uuid TEXT | alias: Mã duy nhất, ID duy nhất, UUID | values: 6d268c95-c176-5766-9a46-c14f739aba1c, 56f4935b-f6c5-59b9-88bf-9bcce20247ce, 7fef665c-36a1-5f7a-9299-cf8938708710 | -- Mã duy nhất được sử dụng để xác định bản ghi này trong hệ thống.
Foreign keys:
  rulings.uuid = cards.uuid</t>
        </is>
      </c>
      <c r="H10" s="10" t="inlineStr">
        <is>
          <t>SELECT COUNT(cards.id) 
FROM cards 
JOIN rulings ON cards.uuid = rulings.uuid 
WHERE cards.rarity = 'rare' AND rulings.date = '2007-02-01';</t>
        </is>
      </c>
      <c r="I10" s="10" t="inlineStr">
        <is>
          <t>SELECT COUNT(DISTINCT T1.id) FROM cards AS T1 INNER JOIN rulings AS T2 ON T1.uuid = T2.uuid WHERE T1.rarity = 'rare' AND T2.date = '2007-02-01'</t>
        </is>
      </c>
      <c r="J10" s="10" t="inlineStr">
        <is>
          <t>ok</t>
        </is>
      </c>
      <c r="K10" s="10" t="inlineStr">
        <is>
          <t>Khác</t>
        </is>
      </c>
      <c r="L10" s="11" t="n"/>
      <c r="M10" s="10">
        <f>IF(L10="","",IF(L10=K10,"Có","Không"))</f>
        <v/>
      </c>
      <c r="N10" s="11" t="n"/>
      <c r="O10" s="11" t="n"/>
      <c r="P10" s="11" t="n"/>
    </row>
    <row r="11" ht="150" customHeight="1">
      <c r="A11" s="10" t="n">
        <v>10</v>
      </c>
      <c r="B11" s="10" t="inlineStr">
        <is>
          <t>A</t>
        </is>
      </c>
      <c r="C11" s="10" t="inlineStr">
        <is>
          <t>ViBIRD</t>
        </is>
      </c>
      <c r="D11" s="10" t="inlineStr">
        <is>
          <t>Qwen2.5-Coder-7B / full</t>
        </is>
      </c>
      <c r="E11" s="10" t="inlineStr">
        <is>
          <t>Tên tiếng Ý của bộ bài có "Ancestor's Chosen" nằm trong đó là gì?</t>
        </is>
      </c>
      <c r="F11" s="10" t="inlineStr">
        <is>
          <t>Tiếng Ý là một ngôn ngữ tham chiếu tới language = 'Italian'; với "Ancestor's Chosen" trong bộ bài tham chiếu tới name = 'Ancestor''s Chosen'</t>
        </is>
      </c>
      <c r="G11" s="10" t="inlineStr">
        <is>
          <t>Table: cards (Thẻ Bài)
  - id INTEGER | alias: Mã Thẻ, ID, Số Thẻ | values: 41138, 1349, 23810 | -- Mã duy nhất xác định mỗi thẻ bài.
  - duelDeck TEXT | alias: Kết Hợp Đấu, Kết Hợp, Đấu Kết Hợp | values: a, b | -- Tên của kết hợp đấu mà thẻ bài thuộc về.
  - faceName TEXT | alias: Tên_thẻ, Tên, Tiêu_d/Internal | values: Dusk, Dawn, Commit | -- Tên chính thức của thẻ trong game.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name TEXT | alias: Tên, Tên gọi, Tiêu đề | values: Ancestor's Chosen, Angel of Mercy, Aven Cloudchaser | -- Tên của thẻ bài.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originalType TEXT | alias: Loại, Kiểu, Loại thẻ | values: Creature - Human Cleric, Creature - Angel, Creature - Bird Soldier | -- Kiểu hoặc loại của thẻ bài.
  - side TEXT | alias: Phía, Phía_A, Phía_B | values: a, b, c | -- Phía của thẻ khi nó được sử dụng trong trò chơi.</t>
        </is>
      </c>
      <c r="H11" s="10" t="inlineStr">
        <is>
          <t>SELECT T1.duelDeck FROM cards AS T1 JOIN cards AS T2 ON T1.id = T2.mtgoId WHERE T2.name = 'Ancestor''s Chosen';</t>
        </is>
      </c>
      <c r="I11" s="10" t="inlineStr">
        <is>
          <t>SELECT translation FROM set_translations WHERE setCode IN ( SELECT setCode FROM cards WHERE name = 'Ancestor''s Chosen' ) AND language = 'Italian'</t>
        </is>
      </c>
      <c r="J11" s="10" t="inlineStr">
        <is>
          <t>ok</t>
        </is>
      </c>
      <c r="K11" s="10" t="inlineStr">
        <is>
          <t>Thiếu bảng cần thiết trong schema</t>
        </is>
      </c>
      <c r="L11" s="11" t="n"/>
      <c r="M11" s="10">
        <f>IF(L11="","",IF(L11=K11,"Có","Không"))</f>
        <v/>
      </c>
      <c r="N11" s="11" t="n"/>
      <c r="O11" s="11" t="n"/>
      <c r="P11" s="11" t="n"/>
    </row>
    <row r="12" ht="150" customHeight="1">
      <c r="A12" s="10" t="n">
        <v>11</v>
      </c>
      <c r="B12" s="10" t="inlineStr">
        <is>
          <t>A</t>
        </is>
      </c>
      <c r="C12" s="10" t="inlineStr">
        <is>
          <t>ViBIRD</t>
        </is>
      </c>
      <c r="D12" s="10" t="inlineStr">
        <is>
          <t>Qwen2.5-Coder-7B / full</t>
        </is>
      </c>
      <c r="E12" s="10" t="inlineStr">
        <is>
          <t>Nội dung flavor text bằng tiếng Ý của thẻ bài "Ancestor's Chosen" là gì?</t>
        </is>
      </c>
      <c r="F12" s="10" t="inlineStr">
        <is>
          <t>Tiếng Ý tham chiếu tới language = 'Italian'; flavor text tham chiếu tới flavorText; "Ancestor's Chosen" tham chiếu tới name = 'Ancestor''s Chosen'</t>
        </is>
      </c>
      <c r="G12" s="10" t="inlineStr">
        <is>
          <t>Table: cards (Thẻ Bài)
  - id INTEGER | alias: Mã Thẻ, ID, Số Thẻ | values: 41138, 1349, 23810 | -- Mã duy nhất xác định mỗi thẻ bài.
  - faceName TEXT | alias: Tên_thẻ, Tên, Tiêu_d/Internal | values: Dusk, Dawn, Commit | -- Tên chính thức của thẻ trong game.
  - flavorName TEXT | alias: Tên_flavor, Tên_flavor, Tên_thêm | values: Godzilla, King of the Monsters, King Caesar, Ancient Guardian, Mothra, Supersonic Queen | -- Tên flavor hoặc tên thay thế cho thẻ.
  - flavorText TEXT | alias: Nội_dung_flavor, Nội_dung_flavor, Nội_dung_thêm | values: Every tear shed is a drop of immortality., The perfect antidote for a tightly packed formation., Life is measured in inches. To a healer, every one of those inches is precious. | -- Nội dung flavor hoặc thông điệp bổ sung cho thẻ.
  - hasContentWarning INTEGER | alias: Cảnh_caution, Cảnh_caution, Nội_dung_cảnh_báo | values: 0, 1 | -- Trường hợp có cảnh báo nội dung cho thẻ này.
  - mtgoFoilId TEXT | alias: ID_Foil_MTGO, ID_Foil, ID_MTGO | values: 27501, 26993, 27473 | -- Mã duy nhất cho phiên bản lấp lánh trong MTGO.
  - originalReleaseDate TEXT | alias: Ngày_ban_hành, Ngày phát hành, Ngày xuất bản | values: 2012/12/1, 2006/12/1, 2007/12/1 | -- Ngày ban hành đầu tiên của thẻ bài.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side TEXT | alias: Phía, Phía_A, Phía_B | values: a, b, c | -- Phía của thẻ khi nó được sử dụng trong trò chơi.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
Table: foreign_data (Dữ liệu nước ngoài)
  - id INTEGER | alias: Mã ID, Mã, ID | values: 1, 2, 3 | -- Mã duy nhất để xác định mỗi dòng dữ liệu.
  - flavorText TEXT | alias: Nội dung phong cách, Nội dung, Phong cách | values: „Es ist der Wille aller, und meine Hand, die ihn ausführt.", "La voluntad de todos, realizada por mi mano.", « La volonté de tous passe par ma main. » | -- Nội dung văn bản mang tính chất mô tả hoặc bổ sung cho mục tiêu.
  - uuid TEXT | alias: Mã UUID, Mã, UUID | values: 5f8287b1-5bb6-5f4c-ad17-316a40d5bb0c, 57aaebc1-850c-503d-9f6e-bb8d00d8bf7c, 8ac972b5-9f6e-5cc8-91c3-b9a40a98232e | -- Mã duy nhất toàn cầu để xác định mỗi đối tượng.
Foreign keys:
  foreign_data.uuid = cards.uuid</t>
        </is>
      </c>
      <c r="H12" s="10" t="inlineStr">
        <is>
          <t>SELECT T1.flavorText FROM foreign_data AS T1 JOIN cards AS T2 ON T1.uuid = T2.uuid WHERE T2.faceName = 'Ancestor''s Chosen' AND T1.language = 'Italian';</t>
        </is>
      </c>
      <c r="I12" s="10" t="inlineStr">
        <is>
          <t>SELECT T2.flavorText FROM cards AS T1 INNER JOIN foreign_data AS T2 ON T2.uuid = T1.uuid WHERE T1.name = 'Ancestor''s Chosen' AND T2.language = 'Italian'</t>
        </is>
      </c>
      <c r="J12" s="10" t="inlineStr">
        <is>
          <t>ok</t>
        </is>
      </c>
      <c r="K12" s="10" t="inlineStr">
        <is>
          <t>Sai cột</t>
        </is>
      </c>
      <c r="L12" s="11" t="n"/>
      <c r="M12" s="10">
        <f>IF(L12="","",IF(L12=K12,"Có","Không"))</f>
        <v/>
      </c>
      <c r="N12" s="11" t="n"/>
      <c r="O12" s="11" t="n"/>
      <c r="P12" s="11" t="n"/>
    </row>
    <row r="13" ht="150" customHeight="1">
      <c r="A13" s="10" t="n">
        <v>12</v>
      </c>
      <c r="B13" s="10" t="inlineStr">
        <is>
          <t>A</t>
        </is>
      </c>
      <c r="C13" s="10" t="inlineStr">
        <is>
          <t>ViBIRD</t>
        </is>
      </c>
      <c r="D13" s="10" t="inlineStr">
        <is>
          <t>Qwen2.5-Coder-7B / full</t>
        </is>
      </c>
      <c r="E13" s="10" t="inlineStr">
        <is>
          <t>Trong số các bài viết do csgillespie sở hữu, có bao nhiêu bài viết là root posts?</t>
        </is>
      </c>
      <c r="F13" s="10" t="inlineStr">
        <is>
          <t>"csgillespie" là DisplayName của người dùng; root post tham chiếu tới ParentId IS Null</t>
        </is>
      </c>
      <c r="G13"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Body TEXT | alias: Nội Dung, Nội Dung Bài Viết, Chính Văn | values: &lt;p&gt;How should I elicit prior distributions from experts when fitting a Bayesian model?&lt;/p&gt;
, &lt;p&gt;In many different statistical methods there is an "assumption of normality".  What is "normality" and how do I know if there is normality?&lt;/p&gt;
, &lt;p&gt;What are some valuable Statistical Analysis open source projects available right now?&lt;/p&gt;
&lt;p&gt;Edit: as pointed out by Sharpie, valuable could mean helping you get things done faster or more cheaply.&lt;/p&gt;
 | -- Nội dung chính của bài viết, thường là câu hỏi hoặc trả lời.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CommunityOwnedDate DATETIME | alias: Ngày_bài_viết_trở_thành_cộng_dân, Ngày_cộng_dân, Ngày_trở_thành_cộng_dân | values: 2010-07-19 19:13:28.0, 2010-07-19 19:14:43.0, 2010-08-09 13:05:50.0 | -- Ngày khi bài_viết trở thành sở hữu của cộng_dân.
  - ParentId INTEGER | alias: ID_bài_viết_cháy, ID_bài_viết_mẹ, ID_cháy | values: 3, 7, 6 | -- ID của bài_viết cha hoặc bài_viết gốc nếu bài_viết này là một câu_hỏi con.
  - OwnerDisplayName TEXT | alias: Tên_họ_chủ_bài_viết, Tên_chủ_bài_viết, Tên_họ_tài_khoản_chủ | values: user28, user209, Michael Bishop | -- Tên_họ của người dùng chủ sở hữu bài_viết.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3" s="10" t="inlineStr">
        <is>
          <t>SELECT COUNT(*) 
FROM posts 
WHERE OwnerDisplayName = 'csgillespie' AND ParentId IS NULL;</t>
        </is>
      </c>
      <c r="I13" s="10" t="inlineStr">
        <is>
          <t>SELECT COUNT(T1.Id) FROM posts AS T1 INNER JOIN users AS T2 ON T1.OwnerUserId = T2.Id WHERE T2.DisplayName = 'csgillespie' AND T1.ParentId IS NULL</t>
        </is>
      </c>
      <c r="J13" s="10" t="inlineStr">
        <is>
          <t>ok</t>
        </is>
      </c>
      <c r="K13" s="10" t="inlineStr">
        <is>
          <t>Thiếu bảng cần thiết trong schema</t>
        </is>
      </c>
      <c r="L13" s="11" t="n"/>
      <c r="M13" s="10">
        <f>IF(L13="","",IF(L13=K13,"Có","Không"))</f>
        <v/>
      </c>
      <c r="N13" s="11" t="n"/>
      <c r="O13" s="11" t="n"/>
      <c r="P13" s="11" t="n"/>
    </row>
    <row r="14" ht="150" customHeight="1">
      <c r="A14" s="10" t="n">
        <v>13</v>
      </c>
      <c r="B14" s="10" t="inlineStr">
        <is>
          <t>A</t>
        </is>
      </c>
      <c r="C14" s="10" t="inlineStr">
        <is>
          <t>ViBIRD</t>
        </is>
      </c>
      <c r="D14" s="10" t="inlineStr">
        <is>
          <t>Qwen2.5-Coder-7B / full</t>
        </is>
      </c>
      <c r="E14" s="10" t="inlineStr">
        <is>
          <t>Hãy cho biết số lượt bình chọn cho bài đăng về data visualization.</t>
        </is>
      </c>
      <c r="F14" s="10" t="inlineStr">
        <is>
          <t>Vài từ liên quan đến data visualization là tiêu đề chứa chuỗi 'data visualization';</t>
        </is>
      </c>
      <c r="G14"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Score INTEGER | alias: Điểm, Điểm_chấm, Điểm_phân_tính | values: 5, 0, 11 | -- Điểm đánh giá của bình luận.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Views INTEGER | alias: Lượt xem, Lượt xem, Số lần xem | values: 0, 25, 22 | -- Số lần nội dung của người dùng được xem.
  - UpVotes INTEGER | alias: Số lượt up vote, Lượt up vote, Số lượt thích | values: 5007, 3, 19 | -- Số lượt up vote mà nội dung của người dùng nhận được.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4" s="10" t="inlineStr">
        <is>
          <t>SELECT SUM(Score) AS Total_Votes
FROM posts
WHERE Title LIKE '%data visualization%';</t>
        </is>
      </c>
      <c r="I14" s="10" t="inlineStr">
        <is>
          <t>SELECT COUNT(T1.Id) FROM posts AS T1 INNER JOIN votes AS T2 ON T1.Id = T2.PostId WHERE T1.Title LIKE '%data visualization%'</t>
        </is>
      </c>
      <c r="J14" s="10" t="inlineStr">
        <is>
          <t>ok</t>
        </is>
      </c>
      <c r="K14" s="10" t="inlineStr">
        <is>
          <t>Chọn sai bảng</t>
        </is>
      </c>
      <c r="L14" s="11" t="n"/>
      <c r="M14" s="10">
        <f>IF(L14="","",IF(L14=K14,"Có","Không"))</f>
        <v/>
      </c>
      <c r="N14" s="11" t="n"/>
      <c r="O14" s="11" t="n"/>
      <c r="P14" s="11" t="n"/>
    </row>
    <row r="15" ht="150" customHeight="1">
      <c r="A15" s="10" t="n">
        <v>14</v>
      </c>
      <c r="B15" s="10" t="inlineStr">
        <is>
          <t>A</t>
        </is>
      </c>
      <c r="C15" s="10" t="inlineStr">
        <is>
          <t>ViBIRD</t>
        </is>
      </c>
      <c r="D15" s="10" t="inlineStr">
        <is>
          <t>Qwen2.5-Coder-7B / full</t>
        </is>
      </c>
      <c r="E15" s="10" t="inlineStr">
        <is>
          <t>Trung bình số lượt up votes và tuổi trung bình của người dùng tạo ra hơn 10 bài đăng là bao nhiêu?</t>
        </is>
      </c>
      <c r="F15" s="10" t="inlineStr">
        <is>
          <t>tạo ra hơn 10 bài đăng ám chỉ Count (UserId) &gt; 10; trung bình số lượt up votes = Divide (Sum(UpVotes), Count (UserId)); trung bình tuổi = Divide (Sum(Age), Count(UserId))</t>
        </is>
      </c>
      <c r="G15" s="10" t="inlineStr">
        <is>
          <t>Table: comments (Bình_luận)
  - Id INTEGER | alias: Mã_bình_luận, ID, Số_bình_luận | values: 1, 2, 3 | -- Mã duy nhất để xác định mỗi bình luận.
  - PostId INTEGER | alias: Mã_bài_viết, ID_bài_viết, Số_bài_viết | values: 3, 5, 9 | -- Mã duy nhất để xác định bài viết liên quan đến bình luận này.
  - UserId INTEGER | alias: Mã_người_dùng, ID_người_dùng, Số_người_dùng | values: 13, 37, 5 | -- Mã duy nhất để xác định người dùng đã tạo bình luận.
Table: posts (Bài Viết)
  - Id INTEGER | alias: Mã Bài Viết, ID, Số Bài Viết | values: 1, 2, 3 | -- Mã duy nhất để xác định mỗi bài viết.
  - Score INTEGER | alias: Điểm, Điểm Thích, Điểm | values: 23, 22, 54 | -- Số lượt thích hoặc điểm của bài viết.
  - OwnerUserId INTEGER | alias: Mã Người Đăng, Người Đăng, ID Người Đăng | values: 8, 24, 18 | -- Mã người dùng đăng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users (Người dùng)
  - Id INTEGER | alias: Mã người dùng, ID, Số người dùng | values: -1, 2, 3 | -- Mã duy nhất để xác định mỗi người dùng.
  - UpVotes INTEGER | alias: Số lượt up vote, Lượt up vote, Số lượt thích | values: 5007, 3, 19 | -- Số lượt up vote mà nội dung của người dùng nhận được.
  - DownVotes INTEGER | alias: Số lượt down vote, Lượt down vote, Số lượt không thích | values: 1920, 0, 5 | -- Số lượt down vote mà nội dung của người dùng nhận được.
  - Age INTEGER | alias: Tuổi, Tuổi tác, Độ tuổi | values: 37, 35, 28 | -- Lớn tuổi của người dùng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comments.PostId = posts.Id
  comments.UserId = users.Id
  posts.OwnerUserId = users.Id
  posts.LastEditorUserId = users.Id
  posts.ParentId = posts.Id
  votes.PostId = posts.Id
  votes.UserId = users.Id</t>
        </is>
      </c>
      <c r="H15" s="10" t="inlineStr">
        <is>
          <t>SELECT AVG(users.UpVotes) AS AverageUpVotes, AVG(users.Age) AS AverageAge
FROM users
JOIN (
    SELECT UserId
    FROM comments
    GROUP BY UserId
    HAVING COUNT(PostId) &gt; 10
) AS high_activity_users ON users.Id = high_activity_users.UserId;</t>
        </is>
      </c>
      <c r="I15" s="10" t="inlineStr">
        <is>
          <t>SELECT AVG(T1.UpVotes), AVG(T1.Age) FROM users AS T1 INNER JOIN ( SELECT OwnerUserId, COUNT(*) AS post_count FROM posts GROUP BY OwnerUserId HAVING post_count &gt; 10) AS T2 ON T1.Id = T2.OwnerUserId</t>
        </is>
      </c>
      <c r="J15" s="10" t="inlineStr">
        <is>
          <t>ok</t>
        </is>
      </c>
      <c r="K15" s="10" t="inlineStr">
        <is>
          <t>Chọn sai bảng</t>
        </is>
      </c>
      <c r="L15" s="11" t="n"/>
      <c r="M15" s="10">
        <f>IF(L15="","",IF(L15=K15,"Có","Không"))</f>
        <v/>
      </c>
      <c r="N15" s="11" t="n"/>
      <c r="O15" s="11" t="n"/>
      <c r="P15" s="11" t="n"/>
    </row>
    <row r="16" ht="150" customHeight="1">
      <c r="A16" s="10" t="n">
        <v>15</v>
      </c>
      <c r="B16" s="10" t="inlineStr">
        <is>
          <t>A</t>
        </is>
      </c>
      <c r="C16" s="10" t="inlineStr">
        <is>
          <t>ViBIRD</t>
        </is>
      </c>
      <c r="D16" s="10" t="inlineStr">
        <is>
          <t>Qwen2.5-Coder-7B / full</t>
        </is>
      </c>
      <c r="E16" s="10" t="inlineStr">
        <is>
          <t>Có bao nhiêu tag có số lượng bài viết nằm trong khoảng từ 5,000 đến 7,000?</t>
        </is>
      </c>
      <c r="F16" s="10" t="inlineStr">
        <is>
          <t>số lượng bài viết nằm trong khoảng từ 5,000 đến 7,000 tương ứng với Count BETWEEN 5000 and 7000;</t>
        </is>
      </c>
      <c r="G16" s="10" t="inlineStr">
        <is>
          <t>Table: posts (Bài Viết)
  - Id INTEGER | alias: Mã Bài Viết, ID, Số Bài Viết | values: 1, 2, 3 | -- Mã duy nhất để xác định mỗi bài viết.
  - Score INTEGER | alias: Điểm, Điểm Thích, Điểm | values: 23, 22, 54 | -- Số lượt thích hoặc điểm của bài viết.
  - ViewCount INTEGER | alias: Số Lượt Xem, Lượt Xem, Xem | values: 1278, 8198, 3613 | -- Số lần bài viết được xem.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AnswerCount INTEGER | alias: Số Trả Lời, Trả Lời, Số Trả Lời | values: 5, 7, 19 | -- Số lượng trả lời đã được cung cấp cho bài viết.
  - CommentCount INTEGER | alias: Số_lượng_bình_luận, Số_lượng_phản_hồi, Số_lượng_koment | values: 1, 4, 2 | -- Số_lượng bình_luận được đăng trên bài_viết.
  - FavoriteCount INTEGER | alias: Số_lượng_yêu_thích, Số_lượng_like, Số_lượng_thích | values: 14, 8, 36 | -- Số_lượng người dùng đã đánh dấu bài_viết là yêu_thích.
  - LastEditorUserId INTEGER | alias: ID_Tài_khoản_sửa_chỉnh_đợt_cuối, ID_sửa_chỉnh_đợt_cuối, ID_tài_khoản_sửa_chỉnh | values: 88, 183, 23 | -- ID của tài_khoản người dùng đã thực hiện sửa_chỉnh đợt cuối cùng.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 WikiPostId INTEGER | alias: ID Bài Viết Wiki, ID Bài Viết Tự Học, ID Bài Viết Tham Khảo | values: 20257, 62157, 67814 | -- ID của bài viết wiki liên quan đến nhãn này.
Foreign keys:
  posts.OwnerUserId = users.Id
  posts.LastEditorUserId = users.Id
  posts.ParentId = posts.Id
  tags.ExcerptPostId = posts.Id</t>
        </is>
      </c>
      <c r="H16" s="10" t="inlineStr">
        <is>
          <t>SELECT COUNT(*) FROM tags WHERE ExcerptPostId IN (
    SELECT Id FROM posts WHERE AnswerCount BETWEEN 5000 AND 7000
);</t>
        </is>
      </c>
      <c r="I16" s="10" t="inlineStr">
        <is>
          <t>SELECT COUNT(Id) FROM tags WHERE Count BETWEEN 5000 AND 7000</t>
        </is>
      </c>
      <c r="J16" s="10" t="inlineStr">
        <is>
          <t>ok</t>
        </is>
      </c>
      <c r="K16" s="10" t="inlineStr">
        <is>
          <t>Chọn sai bảng</t>
        </is>
      </c>
      <c r="L16" s="11" t="n"/>
      <c r="M16" s="10">
        <f>IF(L16="","",IF(L16=K16,"Có","Không"))</f>
        <v/>
      </c>
      <c r="N16" s="11" t="n"/>
      <c r="O16" s="11" t="n"/>
      <c r="P16" s="11" t="n"/>
    </row>
    <row r="17" ht="150" customHeight="1">
      <c r="A17" s="10" t="n">
        <v>16</v>
      </c>
      <c r="B17" s="10" t="inlineStr">
        <is>
          <t>A</t>
        </is>
      </c>
      <c r="C17" s="10" t="inlineStr">
        <is>
          <t>ViBIRD</t>
        </is>
      </c>
      <c r="D17" s="10" t="inlineStr">
        <is>
          <t>Qwen2.5-Coder-7B / full</t>
        </is>
      </c>
      <c r="E17" s="10" t="inlineStr">
        <is>
          <t>Xác định chủng tộc của anh hùng siêu nhiên có cân nặng 169 kg.</t>
        </is>
      </c>
      <c r="F17" s="10" t="inlineStr">
        <is>
          <t>cân nặng 169 kg tương ứng với weight_kg = 169</t>
        </is>
      </c>
      <c r="G17" s="10" t="inlineStr">
        <is>
          <t>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7" s="10" t="inlineStr">
        <is>
          <t>SELECT T1.race_id FROM superhero AS T1 JOIN race AS T2 ON T1.race_id = T2.id WHERE T1.weight_kg = 169;</t>
        </is>
      </c>
      <c r="I17" s="10" t="inlineStr">
        <is>
          <t>SELECT T2.race FROM superhero AS T1 INNER JOIN race AS T2 ON T1.race_id = T2.id WHERE T1.weight_kg = 169</t>
        </is>
      </c>
      <c r="J17" s="10" t="inlineStr">
        <is>
          <t>ok</t>
        </is>
      </c>
      <c r="K17" s="10" t="inlineStr">
        <is>
          <t>Thiếu bảng cần thiết trong schema</t>
        </is>
      </c>
      <c r="L17" s="11" t="n"/>
      <c r="M17" s="10">
        <f>IF(L17="","",IF(L17=K17,"Có","Không"))</f>
        <v/>
      </c>
      <c r="N17" s="11" t="n"/>
      <c r="O17" s="11" t="n"/>
      <c r="P17" s="11" t="n"/>
    </row>
    <row r="18" ht="150" customHeight="1">
      <c r="A18" s="10" t="n">
        <v>17</v>
      </c>
      <c r="B18" s="10" t="inlineStr">
        <is>
          <t>A</t>
        </is>
      </c>
      <c r="C18" s="10" t="inlineStr">
        <is>
          <t>ViBIRD</t>
        </is>
      </c>
      <c r="D18" s="10" t="inlineStr">
        <is>
          <t>Qwen2.5-Coder-7B / full</t>
        </is>
      </c>
      <c r="E18" s="10" t="inlineStr">
        <is>
          <t>Tên đầy đủ của anh hùng có giá trị thuộc tính cao nhất trong Strength là gì?</t>
        </is>
      </c>
      <c r="F18" s="10" t="inlineStr">
        <is>
          <t>giá trị thuộc tính cao nhất trong Strength tương ứng với MAX(attribute_value) WHERE attribute_name = 'strength';</t>
        </is>
      </c>
      <c r="G18" s="10" t="inlineStr">
        <is>
          <t>Table: hero_attribute (Thông số anh hùng)
  - hero_id INTEGER | alias: ID anh hùng, Mã anh hùng, Số hiệu anh hùng | values: 1, 2, 3 | -- Mã duy nhất xác định mỗi anh hùng.
  - attribute_id INTEGER | alias: ID thông số, Mã thông số, Số hiệu thông số | values: 1, 2, 3 | -- Mã duy nhất xác định mỗi loại thông số.
  - attribute_value INTEGER | alias: Giá trị thông số, Giá trị, Số liệu | values: 80, 75, 95 | -- Giá trị cụ thể của mỗi loại thông số cho từng anh hùng.
Table: hero_power (Danh_sách_lực_lượng_helden)
  - hero_id INTEGER | alias: Mã_helden, ID_helden, Số_thứ_cứu_tín_helden | values: 1, 2, 3 | -- Mã duy nhất xác định mỗi anh hùng.
  - power_id INTEGER | alias: Mã_lực_lượng, ID_lực_lượng, Số_thứ_cứu_lực_lượng | values: 1, 18, 26 | -- Mã duy nhất xác định mỗi loại lực lượng.
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 height_cm INTEGER | alias: Chiều Cao (cm), Chiều Cao, Chiều Dài | values: 188, 203, 191 | -- Chiều cao của nhân vật tính bằng centimet.
  - weight_kg INTEGER | alias: Cân Nặng (kg), Cân Nặng, Trọng Lượng | values: 90, 441, 65 | -- Cân nặng của nhân vật tính bằng kilogram.
Foreign keys:
  hero_attribute.hero_id = superhero.id
  hero_attribute.attribute_id = attribute.id
  hero_power.hero_id = superhero.id
  hero_power.power_id = superpower.id
  superhero.gender_id = gender.id
  superhero.eye_colour_id = colour.id
  superhero.hair_colour_id = colour.id
  superhero.skin_colour_id = colour.id
  superhero.race_id = race.id
  superhero.publisher_id = publisher.id
  superhero.alignment_id = alignment.id</t>
        </is>
      </c>
      <c r="H18" s="10" t="inlineStr">
        <is>
          <t>SELECT s.full_name 
FROM superhero s
JOIN hero_attribute ha ON s.id = ha.hero_id
JOIN attribute a ON ha.attribute_id = a.id
WHERE a.attribute_name = 'strength' AND ha.attribute_value = (SELECT MAX(attribute_value) FROM hero_attribute WHERE attribute_id = (SELECT attribute_id FROM attribute WHERE attribute_name = 'strength'));</t>
        </is>
      </c>
      <c r="I18" s="10" t="inlineStr">
        <is>
          <t>SELECT T1.full_name FROM superhero AS T1 INNER JOIN hero_attribute AS T2 ON T1.id = T2.hero_id INNER JOIN attribute AS T3 ON T2.attribute_id = T3.id WHERE T3.attribute_name = 'Strength' ORDER BY T2.attribute_value DESC LIMIT 1</t>
        </is>
      </c>
      <c r="J18" s="10" t="inlineStr">
        <is>
          <t>ok</t>
        </is>
      </c>
      <c r="K18" s="10" t="inlineStr">
        <is>
          <t>Thiếu bảng cần thiết trong schema</t>
        </is>
      </c>
      <c r="L18" s="11" t="n"/>
      <c r="M18" s="10">
        <f>IF(L18="","",IF(L18=K18,"Có","Không"))</f>
        <v/>
      </c>
      <c r="N18" s="11" t="n"/>
      <c r="O18" s="11" t="n"/>
      <c r="P18" s="11" t="n"/>
    </row>
    <row r="19" ht="150" customHeight="1">
      <c r="A19" s="10" t="n">
        <v>18</v>
      </c>
      <c r="B19" s="10" t="inlineStr">
        <is>
          <t>A</t>
        </is>
      </c>
      <c r="C19" s="10" t="inlineStr">
        <is>
          <t>ViBIRD</t>
        </is>
      </c>
      <c r="D19" s="10" t="inlineStr">
        <is>
          <t>Qwen2.5-Coder-7B / full</t>
        </is>
      </c>
      <c r="E19" s="10" t="inlineStr">
        <is>
          <t>Đối với cuộc đua diễn ra vào ngày 2015/11/29, có bao nhiêu tay đua đã hoàn thành trò chơi?</t>
        </is>
      </c>
      <c r="F19" s="10" t="inlineStr">
        <is>
          <t>trò chơi và cuộc đua là các từ đồng nghĩa; những tay đua đã hoàn thành cuộc đua nên có ghi nhận trong cột time;</t>
        </is>
      </c>
      <c r="G19"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wins INTEGER | alias: Số Lần Đua Thắng, Lần Thắng, Số Lần Đua Thắng | values: 1, 0, 2 | -- Số lần tài xế đã giành chiến thắng trong các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9" s="10" t="inlineStr">
        <is>
          <t>SELECT COUNT(DISTINCT driverId) AS numberOfDriversCompleted
FROM lapTimes
JOIN races ON lapTimes.raceId = races.raceId
WHERE DATE(races.date) = '2015-11-29';</t>
        </is>
      </c>
      <c r="I19" s="10" t="inlineStr">
        <is>
          <t>SELECT COUNT(T2.driverId) FROM races AS T1 INNER JOIN results AS T2 ON T2.raceId = T1.raceId WHERE T1.date = '2015-11-29' AND T2.time IS NOT NULL</t>
        </is>
      </c>
      <c r="J19" s="10" t="inlineStr">
        <is>
          <t>ok</t>
        </is>
      </c>
      <c r="K19" s="10" t="inlineStr">
        <is>
          <t>Thiếu bảng cần thiết trong schema</t>
        </is>
      </c>
      <c r="L19" s="11" t="n"/>
      <c r="M19" s="10">
        <f>IF(L19="","",IF(L19=K19,"Có","Không"))</f>
        <v/>
      </c>
      <c r="N19" s="11" t="n"/>
      <c r="O19" s="11" t="n"/>
      <c r="P19" s="11" t="n"/>
    </row>
    <row r="20" ht="150" customHeight="1">
      <c r="A20" s="10" t="n">
        <v>19</v>
      </c>
      <c r="B20" s="10" t="inlineStr">
        <is>
          <t>A</t>
        </is>
      </c>
      <c r="C20" s="10" t="inlineStr">
        <is>
          <t>ViBIRD</t>
        </is>
      </c>
      <c r="D20" s="10" t="inlineStr">
        <is>
          <t>Qwen2.5-Coder-7B / full</t>
        </is>
      </c>
      <c r="E20" s="10" t="inlineStr">
        <is>
          <t>Đối với cuộc đua diễn ra vào ngày 2015/11/29, có bao nhiêu tay đua không hoàn thành trò chơi?</t>
        </is>
      </c>
      <c r="F20" s="10" t="inlineStr">
        <is>
          <t>trò chơi và cuộc đua là các từ đồng nghĩa; những tay đua chưa hoàn thành cuộc đua nên có ghi nhận trong cột time;</t>
        </is>
      </c>
      <c r="G20"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0" s="10" t="inlineStr">
        <is>
          <t>SELECT COUNT(*) FROM pitStops WHERE raceId IN (SELECT raceId FROM races WHERE date = '2015-11-29') AND stop IS NULL;</t>
        </is>
      </c>
      <c r="I20" s="10" t="inlineStr">
        <is>
          <t>SELECT COUNT(T2.driverId) FROM races AS T1 INNER JOIN results AS T2 ON T2.raceId = T1.raceId WHERE T1.date = '2015-11-29' AND T2.time IS NULL</t>
        </is>
      </c>
      <c r="J20" s="10" t="inlineStr">
        <is>
          <t>ok</t>
        </is>
      </c>
      <c r="K20" s="10" t="inlineStr">
        <is>
          <t>Thiếu bảng cần thiết trong schema</t>
        </is>
      </c>
      <c r="L20" s="11" t="n"/>
      <c r="M20" s="10">
        <f>IF(L20="","",IF(L20=K20,"Có","Không"))</f>
        <v/>
      </c>
      <c r="N20" s="11" t="n"/>
      <c r="O20" s="11" t="n"/>
      <c r="P20" s="11" t="n"/>
    </row>
    <row r="21" ht="150" customHeight="1">
      <c r="A21" s="10" t="n">
        <v>20</v>
      </c>
      <c r="B21" s="10" t="inlineStr">
        <is>
          <t>A</t>
        </is>
      </c>
      <c r="C21" s="10" t="inlineStr">
        <is>
          <t>ViBIRD</t>
        </is>
      </c>
      <c r="D21" s="10" t="inlineStr">
        <is>
          <t>Qwen2.5-Coder-7B / full</t>
        </is>
      </c>
      <c r="E21" s="10" t="inlineStr">
        <is>
          <t>Hãy cho biết tên và ngày của lượt đua cuối cùng trong năm 1999.</t>
        </is>
      </c>
      <c r="F21" s="10" t="inlineStr">
        <is>
          <t>lượt đua cuối cùng tương ứng với max(round);</t>
        </is>
      </c>
      <c r="G21"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circuitId INTEGER | alias: Mã đường đua, ID đường đua, Số đường đua | values: 2, 17, 3 | -- Mã duy nhất xác định mỗi đường đua.
  - date DATE | alias: Ngày diễn ra, Ngày đua, Ngày tổ chức | values: 2009-04-05, 2009-04-19, 2009-04-26 | -- Ngày mà cuộc đua được tổ chức.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Table: seasons (Hạng mục giải đua xe ô tô)
  - year INTEGER | alias: Năm, Nam, Thời kỳ | values: 1950, 1951, 1952 | -- Năm diễn ra giải đua xe ô tô
Foreign keys:
  driverStandings.raceId = races.raceId
  driverStandings.driverId = drivers.driverId
  lapTimes.raceId = races.raceId
  lapTimes.driverId = drivers.driverId
  races.year = seasons.year
  races.circuitId = circuits.circuitId
  results.raceId = races.raceId
  results.driverId = drivers.driverId
  results.constructorId = constructors.constructorId
  results.statusId = status.statusId</t>
        </is>
      </c>
      <c r="H21" s="10" t="inlineStr">
        <is>
          <t>SELECT r.date, c.name AS circuit_name
FROM races r
JOIN circuits c ON r.circuitid = c.circuitid
WHERE r.year = 1999
ORDER BY r.round DESC
LIMIT 1;</t>
        </is>
      </c>
      <c r="I21" s="10" t="inlineStr">
        <is>
          <t>SELECT name, date FROM races WHERE year = 1999 ORDER BY round DESC LIMIT 1</t>
        </is>
      </c>
      <c r="J21" s="10" t="inlineStr">
        <is>
          <t>ok</t>
        </is>
      </c>
      <c r="K21" s="10" t="inlineStr">
        <is>
          <t>Chọn sai bảng</t>
        </is>
      </c>
      <c r="L21" s="11" t="n"/>
      <c r="M21" s="10">
        <f>IF(L21="","",IF(L21=K21,"Có","Không"))</f>
        <v/>
      </c>
      <c r="N21" s="11" t="n"/>
      <c r="O21" s="11" t="n"/>
      <c r="P21" s="11" t="n"/>
    </row>
    <row r="22" ht="150" customHeight="1">
      <c r="A22" s="10" t="n">
        <v>21</v>
      </c>
      <c r="B22" s="10" t="inlineStr">
        <is>
          <t>A</t>
        </is>
      </c>
      <c r="C22" s="10" t="inlineStr">
        <is>
          <t>ViBIRD</t>
        </is>
      </c>
      <c r="D22" s="10" t="inlineStr">
        <is>
          <t>Qwen2.5-Coder-7B / full</t>
        </is>
      </c>
      <c r="E22" s="10" t="inlineStr">
        <is>
          <t>Người lái xe nào đã tạo tốc độ vòng nhanh nhất trong một cuộc đua F1? Vui lòng cho cả tên đệm và họ.</t>
        </is>
      </c>
      <c r="F22" s="10" t="inlineStr">
        <is>
          <t>(no evidence)</t>
        </is>
      </c>
      <c r="G22"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 time TEXT | alias: Thời Gian, Thời Gian Hoàn Thành, Thời Gian Đua | values: 1:52.965, 1:41.865, 1:40.869 | -- Thời gian tài xế hoàn thành tròn đua, được thể hiện dưới dạng phút giây.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2" s="10" t="inlineStr">
        <is>
          <t>SELECT d.surname, d.forename 
FROM drivers d 
JOIN results r ON d.driverid = r.driverid 
WHERE r.fastestlapspeed IS NOT NULL 
ORDER BY r.fastestlapspeed DESC 
LIMIT 1;</t>
        </is>
      </c>
      <c r="I22" s="10" t="inlineStr">
        <is>
          <t>SELECT T1.forename, T1.surname FROM drivers AS T1 INNER JOIN results AS T2 ON T2.driverId = T1.driverId WHERE T2.fastestLapTime IS NOT NULL ORDER BY T2.fastestLapSpeed DESC LIMIT 1</t>
        </is>
      </c>
      <c r="J22" s="10" t="inlineStr">
        <is>
          <t>ok</t>
        </is>
      </c>
      <c r="K22" s="10" t="inlineStr">
        <is>
          <t>Sai cột</t>
        </is>
      </c>
      <c r="L22" s="11" t="n"/>
      <c r="M22" s="10">
        <f>IF(L22="","",IF(L22=K22,"Có","Không"))</f>
        <v/>
      </c>
      <c r="N22" s="11" t="n"/>
      <c r="O22" s="11" t="n"/>
      <c r="P22" s="11" t="n"/>
    </row>
    <row r="23" ht="150" customHeight="1">
      <c r="A23" s="10" t="n">
        <v>22</v>
      </c>
      <c r="B23" s="10" t="inlineStr">
        <is>
          <t>A</t>
        </is>
      </c>
      <c r="C23" s="10" t="inlineStr">
        <is>
          <t>ViBIRD</t>
        </is>
      </c>
      <c r="D23" s="10" t="inlineStr">
        <is>
          <t>Qwen2.5-Coder-7B / full</t>
        </is>
      </c>
      <c r="E23" s="10" t="inlineStr">
        <is>
          <t>Ai là người vô địch giải Australian Grand Prix năm 2008 và tôi có thể tìm hiểu thêm về anh ấy ở đâu?</t>
        </is>
      </c>
      <c r="F23" s="10" t="inlineStr">
        <is>
          <t>chỉ thời gian hoàn thành của người vô địch được biểu diễn dưới dạng 'HH:MM:SS.mmm'; nơi tôi có thể tìm hiểu thêm tham chiếu tới url</t>
        </is>
      </c>
      <c r="G23"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points REAL | alias: Điểm, Điểm thưởng, Điểm số | values: 10.0, 8.0, 6.0 | -- Số điểm mà tài xế nhận được dựa trên vị trí của mình.
  - laps INTEGER | alias: Laps, Lộ trình, Lần đi quanh | values: 56, 55, 54 | -- Số vòng đua mà tài xế đã hoàn thành.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3" s="10" t="inlineStr">
        <is>
          <t>SELECT DISTINCT r.driverid, r.position, r.points, r.laps, r.grid, r.rank, r.statusid, d.forename, d.surname, d.nationality, d.dob, d.url
FROM results r
JOIN drivers d ON r.driverid = d.driverid
WHERE r.raceid = 19 AND r.position = 1;</t>
        </is>
      </c>
      <c r="I23" s="10" t="inlineStr">
        <is>
          <t>SELECT T1.forename, T1.surname, T1.url FROM drivers AS T1 INNER JOIN results AS T2 ON T1.driverId = T2.driverId INNER JOIN races AS T3 ON T3.raceId = T2.raceId WHERE T3.name = 'Australian Grand Prix' AND T2.time LIKE '_:%:__.___' AND T3.year = 2008</t>
        </is>
      </c>
      <c r="J23" s="10" t="inlineStr">
        <is>
          <t>ok</t>
        </is>
      </c>
      <c r="K23" s="10" t="inlineStr">
        <is>
          <t>Thiếu bảng cần thiết trong schema</t>
        </is>
      </c>
      <c r="L23" s="11" t="n"/>
      <c r="M23" s="10">
        <f>IF(L23="","",IF(L23=K23,"Có","Không"))</f>
        <v/>
      </c>
      <c r="N23" s="11" t="n"/>
      <c r="O23" s="11" t="n"/>
      <c r="P23" s="11" t="n"/>
    </row>
    <row r="24" ht="150" customHeight="1">
      <c r="A24" s="10" t="n">
        <v>23</v>
      </c>
      <c r="B24" s="10" t="inlineStr">
        <is>
          <t>A</t>
        </is>
      </c>
      <c r="C24" s="10" t="inlineStr">
        <is>
          <t>ViBIRD</t>
        </is>
      </c>
      <c r="D24" s="10" t="inlineStr">
        <is>
          <t>Qwen2.5-Coder-7B / full</t>
        </is>
      </c>
      <c r="E24" s="10" t="inlineStr">
        <is>
          <t>Từ chặng đua số 50 đến 100, có bao nhiêu người đã bị loại khỏi cuộc đua?</t>
        </is>
      </c>
      <c r="F24" s="10" t="inlineStr">
        <is>
          <t>bị loại khỏi cuộc đua tham chiếu tới statusID = 2; người đã hoàn thành chặng đua tham chiếu tới time! = null; số chặng đua tham chiếu tới raceId; raceId &gt; 50 và raceId &lt; 100;</t>
        </is>
      </c>
      <c r="G24" s="10" t="inlineStr">
        <is>
          <t>Table: pitStops (Lỗi Phục Hồi)
  - raceId INTEGER | alias: ID Giải Đấu, Mã Giải Đấu, Số Giải Đấu | values: 842, 843, 844 | -- Đây là mã duy nhất xác định một giải đấu cụ thể.
  - driverId INTEGER | alias: ID Tài Xế, Mã Tài Xế, Số Tài Xế | values: 1, 2, 3 | -- Đây là mã duy nhất xác định một tài xế cụ thể.
  - stop INTEGER | alias: Lỗi Phục Hồi, Lỗi Lái, Phục Hồi | values: 1, 2, 3 | -- Số thứ tự của lỗi phục hồi mà tài xế đã thực hiện trong cuộc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number INTEGER | alias: Số áo, Số tài xế, Số đội đua | values: 2, 1, 23 | -- Số áo của tài xế trên xe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pitStops.raceId = races.raceId
  pitStops.driverId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24" s="10" t="inlineStr">
        <is>
          <t>SELECT COUNT(*) 
FROM results 
WHERE raceId BETWEEN 50 AND 100 AND statusId = 2;</t>
        </is>
      </c>
      <c r="I24" s="10" t="inlineStr">
        <is>
          <t>SELECT SUM(IIF(time IS NOT NULL, 1, 0)) FROM results WHERE statusId = 2 AND raceID &lt; 100 AND raceId &gt; 50</t>
        </is>
      </c>
      <c r="J24" s="10" t="inlineStr">
        <is>
          <t>ok</t>
        </is>
      </c>
      <c r="K24" s="10" t="inlineStr">
        <is>
          <t>Sai cột</t>
        </is>
      </c>
      <c r="L24" s="11" t="n"/>
      <c r="M24" s="10">
        <f>IF(L24="","",IF(L24=K24,"Có","Không"))</f>
        <v/>
      </c>
      <c r="N24" s="11" t="n"/>
      <c r="O24" s="11" t="n"/>
      <c r="P24" s="11" t="n"/>
    </row>
    <row r="25" ht="150" customHeight="1">
      <c r="A25" s="10" t="n">
        <v>24</v>
      </c>
      <c r="B25" s="10" t="inlineStr">
        <is>
          <t>A</t>
        </is>
      </c>
      <c r="C25" s="10" t="inlineStr">
        <is>
          <t>ViBIRD</t>
        </is>
      </c>
      <c r="D25" s="10" t="inlineStr">
        <is>
          <t>Qwen2.5-Coder-7B / full</t>
        </is>
      </c>
      <c r="E25" s="10" t="inlineStr">
        <is>
          <t>Liệt kê tên tham chiếu của các tay đua đã vượt qua vòng đua thứ hai trong chặng đua số 23. Ghi nhận quốc tịch và ngày sinh của họ.</t>
        </is>
      </c>
      <c r="F25" s="10" t="inlineStr">
        <is>
          <t>vượt qua vòng đua thứ hai tương đương với q2 is not null; ngày sinh tương đương với dob; tên tham chiếu của các tay đua tương đương với driverRef; chặng đua số tương đương với raceId;</t>
        </is>
      </c>
      <c r="G25"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drivers (Hãnh trang đua xe)
  - driverId INTEGER | alias: Mã tài xế, ID tài xế, Số tài xế | values: 452, 625, 103 | -- Mã duy nhất xác định mỗi tài xế trong bảng.
  - dob DATE | alias: Ngày sinh, Ngày sinh nhật, Ngày ra đời | values: 1985-01-07, 1977-05-10, 1985-06-27 | -- Ngày sinh của tài xế.
  - nationality TEXT | alias: Quốc tịch, Quốc gia, Dân tộc | values: British, German, Spanish | -- Quốc tịch của tài xế.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number INTEGER | alias: Số xe, Số tài xế trên xe, Số xe đua | values: 1, 4, 23 | -- Số xe của tài xế trong giải đua.
  - grid INTEGER | alias: Vị trí xuất phát, Số hàng xuất phát, Vị trí xuất phát | values: 2, 4, 8 | -- Vị trí xuất phát của tài xế trên đường đua.
  - position INTEGER | alias: Vị trí, Hạng vị, Vị trí chấm dứt | values: 1, 2, 3 | -- Vị trí của tài xế khi kết thúc cuộc đua.
  - positionOrder INTEGER | alias: Vị trí thứ tự, Số thứ tự vị trí, Vị trí thứ tự | values: 1, 2, 3 | -- Số thứ tự của vị trí của tài xế khi kết thúc cuộc đua.
  - laps INTEGER | alias: Laps, Lộ trình, Lần đi quanh | values: 56, 55, 54 | -- Số vòng đua mà tài xế đã hoàn thành.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results.raceId = races.raceId
  results.driverId = drivers.driverId
  results.constructorId = constructors.constructorId
  results.statusId = status.statusId</t>
        </is>
      </c>
      <c r="H25" s="10" t="inlineStr">
        <is>
          <t>SELECT d.driverRef, d.nationality, d.dob
FROM drivers d
JOIN results r ON d.driverId = r.driverId
WHERE r.raceId = 23 AND r.position &lt;= 2;</t>
        </is>
      </c>
      <c r="I25" s="10" t="inlineStr">
        <is>
          <t>SELECT T2.driverRef, T2.nationality, T2.dob FROM qualifying AS T1 INNER JOIN drivers AS T2 on T1.driverId = T2.driverId WHERE T1.raceId = 23 AND T1.q2 IS NOT NULL</t>
        </is>
      </c>
      <c r="J25" s="10" t="inlineStr">
        <is>
          <t>ok</t>
        </is>
      </c>
      <c r="K25" s="10" t="inlineStr">
        <is>
          <t>Thiếu bảng cần thiết trong schema</t>
        </is>
      </c>
      <c r="L25" s="11" t="n"/>
      <c r="M25" s="10">
        <f>IF(L25="","",IF(L25=K25,"Có","Không"))</f>
        <v/>
      </c>
      <c r="N25" s="11" t="n"/>
      <c r="O25" s="11" t="n"/>
      <c r="P25" s="11" t="n"/>
    </row>
    <row r="26" ht="150" customHeight="1">
      <c r="A26" s="10" t="n">
        <v>25</v>
      </c>
      <c r="B26" s="10" t="inlineStr">
        <is>
          <t>A</t>
        </is>
      </c>
      <c r="C26" s="10" t="inlineStr">
        <is>
          <t>ViBIRD</t>
        </is>
      </c>
      <c r="D26" s="10" t="inlineStr">
        <is>
          <t>Qwen2.5-Coder-7B / full</t>
        </is>
      </c>
      <c r="E26" s="10" t="inlineStr">
        <is>
          <t>Liệt kê các cầu thủ bóng đá sinh năm 1970 và tháng sinh là tháng 10.</t>
        </is>
      </c>
      <c r="F26" s="10" t="inlineStr">
        <is>
          <t>cầu thủ có birthyear 1970 và birthmonth 10 tương ứng với substr(birthday,1,7) AS 'year-month', WHERE year = '1970' AND month = '10';</t>
        </is>
      </c>
      <c r="G26"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home_player_X1 INTEGER | alias: Số Đội Hình Đội Nhà, Đội Hình Đội Nhà, Số Đội Hình Nhà | values: 1, 2, 0 | -- Số thứ tự của cầu thủ trong đội hình xuất phát của đội nhà.
  - home_player_X10 INTEGER | alias: Người chơi nhà X10, Người chơi đội nhà X10, Người chơi đội chủ nhà X10 | values: 4, 6, 9 | -- Số ID của người chơi thứ 10 trên đội nhà trong trận đấu.
  - away_player_X7 INTEGER | alias: Người chơi đội khách X7, Người chơi đối thủ X7, Người chơi bên kia X7 | values: 4, 6, 5 | -- Số hiệu của người chơi từ đội khách trong trận đấu.
  - away_player_X10 INTEGER | alias: Người chơi đội khách X10, Người chơi đối thủ X10, Người chơi bên kia X10 | values: 4, 6, 7 | -- Số hiệu của người chơi từ đội khách trong trận đấu.
  - home_player_Y10 INTEGER | alias: Người chơi nhà Y10, Người chơi đội nhà 10, Đội nhà vị trí 10 | values: 10, 7, 8 | -- ID của người chơi ở vị trí thứ 10 trong đội nhà.
  - away_player_Y10 INTEGER | alias: Người chơi khách Y10, Người chơi đội khách Y10, Đội khách Y10 | values: 10, 7, 8 | -- Mã số của người chơi từ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birthday TEXT | alias: Ngày sinh, Ngày sinh nhật, Sinh nhật | values: 1992-02-29 00:00:00, 1989-12-15 00:00:00, 1991-05-13 00:00:00 | -- Ngày sinh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gk_reflexes INTEGER | alias: Tư Duy Nhanh, Tư duy nhanh, Tư duy phản xạ | values: 8, 7, 12 | -- Năng lực phản xạ nhanh của thủ môn khi bắt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26" s="10" t="inlineStr">
        <is>
          <t>SELECT * FROM Player WHERE strftime('%Y-%m', birthday) = '1970-10';</t>
        </is>
      </c>
      <c r="I26" s="10" t="inlineStr">
        <is>
          <t>SELECT player_name FROM Player WHERE SUBSTR(birthday, 1, 7) = '1970-10'</t>
        </is>
      </c>
      <c r="J26" s="10" t="inlineStr">
        <is>
          <t>ok</t>
        </is>
      </c>
      <c r="K26" s="10" t="inlineStr">
        <is>
          <t>Sai cột</t>
        </is>
      </c>
      <c r="L26" s="11" t="n"/>
      <c r="M26" s="10">
        <f>IF(L26="","",IF(L26=K26,"Có","Không"))</f>
        <v/>
      </c>
      <c r="N26" s="11" t="n"/>
      <c r="O26" s="11" t="n"/>
      <c r="P26" s="11" t="n"/>
    </row>
    <row r="27" ht="150" customHeight="1">
      <c r="A27" s="10" t="n">
        <v>26</v>
      </c>
      <c r="B27" s="10" t="inlineStr">
        <is>
          <t>A</t>
        </is>
      </c>
      <c r="C27" s="10" t="inlineStr">
        <is>
          <t>ViBIRD</t>
        </is>
      </c>
      <c r="D27" s="10" t="inlineStr">
        <is>
          <t>Qwen2.5-Coder-7B / full</t>
        </is>
      </c>
      <c r="E27" s="10" t="inlineStr">
        <is>
          <t>Vui lòng liệt kê các giải đấu từ Đức.</t>
        </is>
      </c>
      <c r="F27" s="10" t="inlineStr">
        <is>
          <t>Đức tham chiếu tới Country.name = 'Germany';</t>
        </is>
      </c>
      <c r="G27"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season TEXT | alias: Hạng Mục Hèm, Hạng Mục Giải, Hạng Mục Năm | values: 2008/2009, 2009/2010, 2010/2011 | -- Hạng mục hoặc mùa giải mà trận đấu thuộc về.
  - stage INTEGER | alias: Bước Thăng Tiến, Bước Thăng, Bước Tiến | values: 1, 10, 11 | -- Bước tiến trong giải đấu mà trận đấu diễn ra.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goal TEXT | alias: Bàn Thắng, Bàn Thắng, Bàn Đấu | values: &lt;goal&gt;&lt;value&gt;&lt;comment&gt;n&lt;/comment&gt;&lt;stats&gt;&lt;goals&gt;1&lt;/goals&gt;&lt;shoton&gt;1&lt;/shoton&gt;&lt;/stats&gt;&lt;event_incident_typefk&gt;406&lt;/event_incident_typefk&gt;&lt;elapsed&gt;22&lt;/elapsed&gt;&lt;player2&gt;38807&lt;/player2&gt;&lt;subtype&gt;header&lt;/subtype&gt;&lt;player1&gt;37799&lt;/player1&gt;&lt;sortorder&gt;5&lt;/sortorder&gt;&lt;team&gt;10261&lt;/team&gt;&lt;id&gt;378998&lt;/id&gt;&lt;n&gt;295&lt;/n&gt;&lt;type&gt;goal&lt;/type&gt;&lt;goal_type&gt;n&lt;/goal_type&gt;&lt;/value&gt;&lt;value&gt;&lt;comment&gt;n&lt;/comment&gt;&lt;stats&gt;&lt;goals&gt;1&lt;/goals&gt;&lt;shoton&gt;1&lt;/shoton&gt;&lt;/stats&gt;&lt;event_incident_typefk&gt;393&lt;/event_incident_typefk&gt;&lt;elapsed&gt;24&lt;/elapsed&gt;&lt;player2&gt;24154&lt;/player2&gt;&lt;subtype&gt;shot&lt;/subtype&gt;&lt;player1&gt;24148&lt;/player1&gt;&lt;sortorder&gt;4&lt;/sortorder&gt;&lt;team&gt;10260&lt;/team&gt;&lt;id&gt;379019&lt;/id&gt;&lt;n&gt;298&lt;/n&gt;&lt;type&gt;goal&lt;/type&gt;&lt;goal_type&gt;n&lt;/goal_type&gt;&lt;/value&gt;&lt;/goal&gt;, &lt;goal&gt;&lt;value&gt;&lt;comment&gt;n&lt;/comment&gt;&lt;stats&gt;&lt;goals&gt;1&lt;/goals&gt;&lt;shoton&gt;1&lt;/shoton&gt;&lt;/stats&gt;&lt;event_incident_typefk&gt;393&lt;/event_incident_typefk&gt;&lt;elapsed&gt;4&lt;/elapsed&gt;&lt;player2&gt;39297&lt;/player2&gt;&lt;subtype&gt;shot&lt;/subtype&gt;&lt;player1&gt;26181&lt;/player1&gt;&lt;sortorder&gt;2&lt;/sortorder&gt;&lt;team&gt;9825&lt;/team&gt;&lt;id&gt;375546&lt;/id&gt;&lt;n&gt;231&lt;/n&gt;&lt;type&gt;goal&lt;/type&gt;&lt;goal_type&gt;n&lt;/goal_type&gt;&lt;/value&gt;&lt;/goal&gt;, &lt;goal&gt;&lt;value&gt;&lt;comment&gt;n&lt;/comment&gt;&lt;stats&gt;&lt;goals&gt;1&lt;/goals&gt;&lt;shoton&gt;1&lt;/shoton&gt;&lt;/stats&gt;&lt;event_incident_typefk&gt;407&lt;/event_incident_typefk&gt;&lt;elapsed&gt;83&lt;/elapsed&gt;&lt;player2&gt;30889&lt;/player2&gt;&lt;subtype&gt;distance&lt;/subtype&gt;&lt;player1&gt;30853&lt;/player1&gt;&lt;sortorder&gt;0&lt;/sortorder&gt;&lt;team&gt;8650&lt;/team&gt;&lt;id&gt;378041&lt;/id&gt;&lt;n&gt;344&lt;/n&gt;&lt;type&gt;goal&lt;/type&gt;&lt;goal_type&gt;n&lt;/goal_type&gt;&lt;/value&gt;&lt;/goal&gt; | -- Thông tin về các bàn thắng trong trận đấu
  - foulcommit TEXT | alias: Vi Phạm, Vi Phạm, Phạm Quyền | values: &lt;foulcommit&gt;&lt;value&gt;&lt;stats&gt;&lt;foulscommitted&gt;1&lt;/foulscommitted&gt;&lt;/stats&gt;&lt;event_incident_typefk&gt;37&lt;/event_incident_typefk&gt;&lt;elapsed&gt;1&lt;/elapsed&gt;&lt;player2&gt;32569&lt;/player2&gt;&lt;player1&gt;25518&lt;/player1&gt;&lt;sortorder&gt;1&lt;/sortorder&gt;&lt;team&gt;10261&lt;/team&gt;&lt;n&gt;267&lt;/n&gt;&lt;type&gt;foulcommit&lt;/type&gt;&lt;id&gt;378824&lt;/id&gt;&lt;/value&gt;&lt;value&gt;&lt;stats&gt;&lt;foulscommitted&gt;1&lt;/foulscommitted&gt;&lt;/stats&gt;&lt;event_incident_typefk&gt;37&lt;/event_incident_typefk&gt;&lt;elapsed&gt;2&lt;/elapsed&gt;&lt;player2&gt;24157&lt;/player2&gt;&lt;player1&gt;30929&lt;/player1&gt;&lt;sortorder&gt;0&lt;/sortorder&gt;&lt;team&gt;10261&lt;/team&gt;&lt;n&gt;277&lt;/n&gt;&lt;type&gt;foulcommit&lt;/type&gt;&lt;id&gt;378826&lt;/id&gt;&lt;/value&gt;&lt;value&gt;&lt;stats&gt;&lt;foulscommitted&gt;1&lt;/foulscommitted&gt;&lt;/stats&gt;&lt;event_incident_typefk&gt;37&lt;/event_incident_typefk&gt;&lt;elapsed&gt;3&lt;/elapsed&gt;&lt;player2&gt;24148&lt;/player2&gt;&lt;player1&gt;29581&lt;/player1&gt;&lt;sortorder&gt;1&lt;/sortorder&gt;&lt;team&gt;10261&lt;/team&gt;&lt;n&gt;254&lt;/n&gt;&lt;type&gt;foulcommit&lt;/type&gt;&lt;id&gt;378830&lt;/id&gt;&lt;/value&gt;&lt;value&gt;&lt;stats&gt;&lt;foulscommitted&gt;1&lt;/foulscommitted&gt;&lt;/stats&gt;&lt;event_incident_typefk&gt;37&lt;/event_incident_typefk&gt;&lt;elapsed&gt;5&lt;/elapsed&gt;&lt;player2&gt;40565&lt;/player2&gt;&lt;player1&gt;30373&lt;/player1&gt;&lt;sortorder&gt;0&lt;/sortorder&gt;&lt;team&gt;10260&lt;/team&gt;&lt;n&gt;256&lt;/n&gt;&lt;type&gt;foulcommit&lt;/type&gt;&lt;id&gt;378841&lt;/id&gt;&lt;/value&gt;&lt;value&gt;&lt;stats&gt;&lt;foulscommitted&gt;1&lt;/foulscommitted&gt;&lt;/stats&gt;&lt;event_incident_typefk&gt;320&lt;/event_incident_typefk&gt;&lt;elapsed&gt;10&lt;/elapsed&gt;&lt;player2&gt;30829&lt;/player2&gt;&lt;subtype&gt;pushing&lt;/subtype&gt;&lt;player1&gt;29581&lt;/player1&gt;&lt;sortorder&gt;0&lt;/sortorder&gt;&lt;team&gt;10261&lt;/team&gt;&lt;n&gt;275&lt;/n&gt;&lt;type&gt;foulcommit&lt;/type&gt;&lt;id&gt;378894&lt;/id&gt;&lt;/value&gt;&lt;value&gt;&lt;stats&gt;&lt;foulscommitted&gt;1&lt;/foulscommitted&gt;&lt;/stats&gt;&lt;event_incident_typefk&gt;37&lt;/event_incident_typefk&gt;&lt;elapsed&gt;13&lt;/elapsed&gt;&lt;player2&gt;25518&lt;/player2&gt;&lt;player1&gt;24157&lt;/player1&gt;&lt;sortorder&gt;0&lt;/sortorder&gt;&lt;team&gt;10260&lt;/team&gt;&lt;n&gt;261&lt;/n&gt;&lt;type&gt;foulcommit&lt;/type&gt;&lt;id&gt;378913&lt;/id&gt;&lt;/value&gt;&lt;value&gt;&lt;stats&gt;&lt;foulscommitted&gt;1&lt;/foulscommitted&gt;&lt;/stats&gt;&lt;event_incident_typefk&gt;37&lt;/event_incident_typefk&gt;&lt;elapsed&gt;19&lt;/elapsed&gt;&lt;player2&gt;30362&lt;/player2&gt;&lt;player1&gt;24228&lt;/player1&gt;&lt;sortorder&gt;6&lt;/sortorder&gt;&lt;team&gt;10261&lt;/team&gt;&lt;n&gt;260&lt;/n&gt;&lt;type&gt;foulcommit&lt;/type&gt;&lt;id&gt;378974&lt;/id&gt;&lt;/value&gt;&lt;value&gt;&lt;stats&gt;&lt;foulscommitted&gt;1&lt;/foulscommitted&gt;&lt;/stats&gt;&lt;event_incident_typefk&gt;37&lt;/event_incident_typefk&gt;&lt;elapsed&gt;27&lt;/elapsed&gt;&lt;player2&gt;30360&lt;/player2&gt;&lt;player1&gt;24157&lt;/player1&gt;&lt;sortorder&gt;0&lt;/sortorder&gt;&lt;team&gt;10260&lt;/team&gt;&lt;n&gt;268&lt;/n&gt;&lt;type&gt;foulcommit&lt;/type&gt;&lt;id&gt;379035&lt;/id&gt;&lt;/value&gt;&lt;value&gt;&lt;stats&gt;&lt;foulscommitted&gt;1&lt;/foulscommitted&gt;&lt;/stats&gt;&lt;event_incident_typefk&gt;37&lt;/event_incident_typefk&gt;&lt;elapsed&gt;27&lt;/elapsed&gt;&lt;player2&gt;38807&lt;/player2&gt;&lt;player1&gt;24154&lt;/player1&gt;&lt;sortorder&gt;2&lt;/sortorder&gt;&lt;team&gt;10260&lt;/team&gt;&lt;n&gt;282&lt;/n&gt;&lt;type&gt;foulcommit&lt;/type&gt;&lt;id&gt;379044&lt;/id&gt;&lt;/value&gt;&lt;value&gt;&lt;stats&gt;&lt;foulscommitted&gt;1&lt;/foulscommitted&gt;&lt;/stats&gt;&lt;event_incident_typefk&gt;18&lt;/event_incident_typefk&gt;&lt;elapsed&gt;33&lt;/elapsed&gt;&lt;player2&gt;32569&lt;/player2&gt;&lt;subtype&gt;shirt_pull&lt;/subtype&gt;&lt;player1&gt;34574&lt;/player1&gt;&lt;sortorder&gt;1&lt;/sortorder&gt;&lt;team&gt;10261&lt;/team&gt;&lt;n&gt;283&lt;/n&gt;&lt;type&gt;foulcommit&lt;/type&gt;&lt;id&gt;379100&lt;/id&gt;&lt;/value&gt;&lt;value&gt;&lt;stats&gt;&lt;foulscommitted&gt;1&lt;/foulscommitted&gt;&lt;/stats&gt;&lt;event_incident_typefk&gt;320&lt;/event_incident_typefk&gt;&lt;elapsed&gt;36&lt;/elapsed&gt;&lt;player2&gt;32569&lt;/player2&gt;&lt;subtype&gt;pushing&lt;/subtype&gt;&lt;player1&gt;37799&lt;/player1&gt;&lt;sortorder&gt;0&lt;/sortorder&gt;&lt;team&gt;10261&lt;/team&gt;&lt;n&gt;286&lt;/n&gt;&lt;type&gt;foulcommit&lt;/type&gt;&lt;id&gt;379126&lt;/id&gt;&lt;/value&gt;&lt;value&gt;&lt;stats&gt;&lt;foulscommitted&gt;1&lt;/foulscommitted&gt;&lt;/stats&gt;&lt;event_incident_typefk&gt;19&lt;/event_incident_typefk&gt;&lt;elapsed&gt;38&lt;/elapsed&gt;&lt;player2&gt;33852&lt;/player2&gt;&lt;subtype&gt;from_behind&lt;/subtype&gt;&lt;player1&gt;30620&lt;/player1&gt;&lt;sortorder&gt;0&lt;/sortorder&gt;&lt;team&gt;10260&lt;/team&gt;&lt;n&gt;287&lt;/n&gt;&lt;type&gt;foulcommit&lt;/type&gt;&lt;id&gt;379154&lt;/id&gt;&lt;/value&gt;&lt;value&gt;&lt;stats&gt;&lt;foulscommitted&gt;1&lt;/foulscommitted&gt;&lt;/stats&gt;&lt;event_incident_typefk&gt;19&lt;/event_incident_typefk&gt;&lt;elapsed&gt;39&lt;/elapsed&gt;&lt;player2&gt;34574&lt;/player2&gt;&lt;subtype&gt;from_behind&lt;/subtype&gt;&lt;player1&gt;32569&lt;/player1&gt;&lt;sortorder&gt;2&lt;/sortorder&gt;&lt;team&gt;10260&lt;/team&gt;&lt;n&gt;290&lt;/n&gt;&lt;type&gt;foulcommit&lt;/type&gt;&lt;id&gt;379171&lt;/id&gt;&lt;/value&gt;&lt;value&gt;&lt;stats&gt;&lt;foulscommitted&gt;1&lt;/foulscommitted&gt;&lt;/stats&gt;&lt;event_incident_typefk&gt;37&lt;/event_incident_typefk&gt;&lt;elapsed&gt;42&lt;/elapsed&gt;&lt;player2&gt;24157&lt;/player2&gt;&lt;player1&gt;30929&lt;/player1&gt;&lt;sortorder&gt;0&lt;/sortorder&gt;&lt;team&gt;10261&lt;/team&gt;&lt;n&gt;308&lt;/n&gt;&lt;type&gt;foulcommit&lt;/type&gt;&lt;id&gt;379195&lt;/id&gt;&lt;/value&gt;&lt;value&gt;&lt;stats&gt;&lt;foulscommitted&gt;1&lt;/foulscommitted&gt;&lt;/stats&gt;&lt;event_incident_typefk&gt;320&lt;/event_incident_typefk&gt;&lt;elapsed&gt;53&lt;/elapsed&gt;&lt;player2&gt;33852&lt;/player2&gt;&lt;subtype&gt;pushing&lt;/subtype&gt;&lt;player1&gt;24157&lt;/player1&gt;&lt;sortorder&gt;0&lt;/sortorder&gt;&lt;team&gt;10260&lt;/team&gt;&lt;n&gt;304&lt;/n&gt;&lt;type&gt;foulcommit&lt;/type&gt;&lt;id&gt;379377&lt;/id&gt;&lt;/value&gt;&lt;value&gt;&lt;stats&gt;&lt;foulscommitted&gt;1&lt;/foulscommitted&gt;&lt;/stats&gt;&lt;event_incident_typefk&gt;19&lt;/event_incident_typefk&gt;&lt;elapsed&gt;56&lt;/elapsed&gt;&lt;player2&gt;34574&lt;/player2&gt;&lt;subtype&gt;from_behind&lt;/subtype&gt;&lt;player1&gt;30865&lt;/player1&gt;&lt;sortorder&gt;0&lt;/sortorder&gt;&lt;team&gt;10260&lt;/team&gt;&lt;n&gt;321&lt;/n&gt;&lt;type&gt;foulcommit&lt;/type&gt;&lt;id&gt;379390&lt;/id&gt;&lt;/value&gt;&lt;value&gt;&lt;stats&gt;&lt;foulscommitted&gt;1&lt;/foulscommitted&gt;&lt;/stats&gt;&lt;event_incident_typefk&gt;19&lt;/event_incident_typefk&gt;&lt;elapsed&gt;59&lt;/elapsed&gt;&lt;player2&gt;37799&lt;/player2&gt;&lt;subtype&gt;from_behind&lt;/subtype&gt;&lt;player1&gt;30865&lt;/player1&gt;&lt;sortorder&gt;3&lt;/sortorder&gt;&lt;team&gt;10260&lt;/team&gt;&lt;n&gt;313&lt;/n&gt;&lt;type&gt;foulcommit&lt;/type&gt;&lt;id&gt;379413&lt;/id&gt;&lt;/value&gt;&lt;value&gt;&lt;stats&gt;&lt;foulscommitted&gt;1&lt;/foulscommitted&gt;&lt;/stats&gt;&lt;event_incident_typefk&gt;3&lt;/event_incident_typefk&gt;&lt;elapsed&gt;68&lt;/elapsed&gt;&lt;subtype&gt;hands&lt;/subtype&gt;&lt;player1&gt;24157&lt;/player1&gt;&lt;sortorder&gt;1&lt;/sortorder&gt;&lt;team&gt;10260&lt;/team&gt;&lt;n&gt;328&lt;/n&gt;&lt;type&gt;foulcommit&lt;/type&gt;&lt;id&gt;379440&lt;/id&gt;&lt;/value&gt;&lt;value&gt;&lt;stats&gt;&lt;foulscommitted&gt;1&lt;/foulscommitted&gt;&lt;/stats&gt;&lt;event_incident_typefk&gt;37&lt;/event_incident_typefk&gt;&lt;elapsed&gt;70&lt;/elapsed&gt;&lt;player2&gt;29581&lt;/player2&gt;&lt;player1&gt;30362&lt;/player1&gt;&lt;sortorder&gt;1&lt;/sortorder&gt;&lt;team&gt;10260&lt;/team&gt;&lt;n&gt;329&lt;/n&gt;&lt;type&gt;foulcommit&lt;/type&gt;&lt;id&gt;379444&lt;/id&gt;&lt;/value&gt;&lt;value&gt;&lt;stats&gt;&lt;foulscommitted&gt;1&lt;/foulscommitted&gt;&lt;/stats&gt;&lt;event_incident_typefk&gt;37&lt;/event_incident_typefk&gt;&lt;elapsed&gt;72&lt;/elapsed&gt;&lt;player2&gt;24148&lt;/player2&gt;&lt;player1&gt;29581&lt;/player1&gt;&lt;sortorder&gt;0&lt;/sortorder&gt;&lt;team&gt;10261&lt;/team&gt;&lt;n&gt;331&lt;/n&gt;&lt;type&gt;foulcommit&lt;/type&gt;&lt;id&gt;379449&lt;/id&gt;&lt;/value&gt;&lt;value&gt;&lt;stats&gt;&lt;foulscommitted&gt;1&lt;/foulscommitted&gt;&lt;/stats&gt;&lt;event_incident_typefk&gt;320&lt;/event_incident_typefk&gt;&lt;elapsed&gt;76&lt;/elapsed&gt;&lt;player2&gt;32569&lt;/player2&gt;&lt;subtype&gt;pushing&lt;/subtype&gt;&lt;player1&gt;29581&lt;/player1&gt;&lt;sortorder&gt;0&lt;/sortorder&gt;&lt;team&gt;10261&lt;/team&gt;&lt;n&gt;339&lt;/n&gt;&lt;type&gt;foulcommit&lt;/type&gt;&lt;id&gt;379468&lt;/id&gt;&lt;/value&gt;&lt;value&gt;&lt;stats&gt;&lt;foulscommitted&gt;1&lt;/foulscommitted&gt;&lt;/stats&gt;&lt;event_incident_typefk&gt;5&lt;/event_incident_typefk&gt;&lt;elapsed&gt;78&lt;/elapsed&gt;&lt;player2&gt;30929&lt;/player2&gt;&lt;subtype&gt;serious_foul&lt;/subtype&gt;&lt;player1&gt;24157&lt;/player1&gt;&lt;sortorder&gt;0&lt;/sortorder&gt;&lt;team&gt;10260&lt;/team&gt;&lt;n&gt;341&lt;/n&gt;&lt;type&gt;foulcommit&lt;/type&gt;&lt;id&gt;379479&lt;/id&gt;&lt;/value&gt;&lt;value&gt;&lt;stats&gt;&lt;foulscommitted&gt;1&lt;/foulscommitted&gt;&lt;/stats&gt;&lt;event_incident_typefk&gt;37&lt;/event_incident_typefk&gt;&lt;elapsed&gt;80&lt;/elapsed&gt;&lt;player2&gt;38807&lt;/player2&gt;&lt;player1&gt;24150&lt;/player1&gt;&lt;sortorder&gt;0&lt;/sortorder&gt;&lt;team&gt;10260&lt;/team&gt;&lt;n&gt;343&lt;/n&gt;&lt;type&gt;foulcommit&lt;/type&gt;&lt;id&gt;379488&lt;/id&gt;&lt;/value&gt;&lt;value&gt;&lt;stats&gt;&lt;foulscommitted&gt;1&lt;/foulscommitted&gt;&lt;/stats&gt;&lt;event_incident_typefk&gt;5&lt;/event_incident_typefk&gt;&lt;elapsed&gt;82&lt;/elapsed&gt;&lt;player2&gt;29581&lt;/player2&gt;&lt;subtype&gt;serious_foul&lt;/subtype&gt;&lt;player1&gt;30362&lt;/player1&gt;&lt;sortorder&gt;0&lt;/sortorder&gt;&lt;team&gt;10260&lt;/team&gt;&lt;n&gt;345&lt;/n&gt;&lt;type&gt;foulcommit&lt;/type&gt;&lt;id&gt;379502&lt;/id&gt;&lt;/value&gt;&lt;value&gt;&lt;stats&gt;&lt;foulscommitted&gt;1&lt;/foulscommitted&gt;&lt;/stats&gt;&lt;event_incident_typefk&gt;37&lt;/event_incident_typefk&gt;&lt;elapsed&gt;83&lt;/elapsed&gt;&lt;player2&gt;30929&lt;/player2&gt;&lt;player1&gt;30829&lt;/player1&gt;&lt;sortorder&gt;0&lt;/sortorder&gt;&lt;team&gt;10260&lt;/team&gt;&lt;n&gt;348&lt;/n&gt;&lt;type&gt;foulcommit&lt;/type&gt;&lt;id&gt;379509&lt;/id&gt;&lt;/value&gt;&lt;value&gt;&lt;stats&gt;&lt;foulscommitted&gt;1&lt;/foulscommitted&gt;&lt;/stats&gt;&lt;event_incident_typefk&gt;37&lt;/event_incident_typefk&gt;&lt;elapsed&gt;89&lt;/elapsed&gt;&lt;player2&gt;24228&lt;/player2&gt;&lt;player1&gt;30829&lt;/player1&gt;&lt;sortorder&gt;2&lt;/sortorder&gt;&lt;team&gt;10260&lt;/team&gt;&lt;n&gt;352&lt;/n&gt;&lt;type&gt;foulcommit&lt;/type&gt;&lt;id&gt;379542&lt;/id&gt;&lt;/value&gt;&lt;value&gt;&lt;stats&gt;&lt;foulscommitted&gt;1&lt;/foulscommitted&gt;&lt;/stats&gt;&lt;elapsed_plus&gt;4&lt;/elapsed_plus&gt;&lt;event_incident_typefk&gt;37&lt;/event_incident_typefk&gt;&lt;elapsed&gt;90&lt;/elapsed&gt;&lt;player2&gt;38994&lt;/player2&gt;&lt;player1&gt;30360&lt;/player1&gt;&lt;sortorder&gt;0&lt;/sortorder&gt;&lt;team&gt;10261&lt;/team&gt;&lt;n&gt;355&lt;/n&gt;&lt;type&gt;foulcommit&lt;/type&gt;&lt;id&gt;379571&lt;/id&gt;&lt;/value&gt;&lt;/foulcommit&gt;, &lt;foulcommit&gt;&lt;value&gt;&lt;stats&gt;&lt;foulscommitted&gt;1&lt;/foulscommitted&gt;&lt;/stats&gt;&lt;event_incident_typefk&gt;37&lt;/event_incident_typefk&gt;&lt;elapsed&gt;2&lt;/elapsed&gt;&lt;player2&gt;26181&lt;/player2&gt;&lt;player1&gt;36832&lt;/player1&gt;&lt;sortorder&gt;0&lt;/sortorder&gt;&lt;team&gt;8659&lt;/team&gt;&lt;n&gt;227&lt;/n&gt;&lt;type&gt;foulcommit&lt;/type&gt;&lt;id&gt;375531&lt;/id&gt;&lt;/value&gt;&lt;value&gt;&lt;stats&gt;&lt;foulscommitted&gt;1&lt;/foulscommitted&gt;&lt;/stats&gt;&lt;event_incident_typefk&gt;37&lt;/event_incident_typefk&gt;&lt;elapsed&gt;3&lt;/elapsed&gt;&lt;player2&gt;23257&lt;/player2&gt;&lt;player1&gt;31291&lt;/player1&gt;&lt;sortorder&gt;5&lt;/sortorder&gt;&lt;team&gt;9825&lt;/team&gt;&lt;n&gt;230&lt;/n&gt;&lt;type&gt;foulcommit&lt;/type&gt;&lt;id&gt;375541&lt;/id&gt;&lt;/value&gt;&lt;value&gt;&lt;stats&gt;&lt;foulscommitted&gt;1&lt;/foulscommitted&gt;&lt;/stats&gt;&lt;event_incident_typefk&gt;320&lt;/event_incident_typefk&gt;&lt;elapsed&gt;5&lt;/elapsed&gt;&lt;player2&gt;31088&lt;/player2&gt;&lt;subtype&gt;pushing&lt;/subtype&gt;&lt;player1&gt;30935&lt;/player1&gt;&lt;sortorder&gt;0&lt;/sortorder&gt;&lt;team&gt;9825&lt;/team&gt;&lt;n&gt;232&lt;/n&gt;&lt;type&gt;foulcommit&lt;/type&gt;&lt;id&gt;375551&lt;/id&gt;&lt;/value&gt;&lt;value&gt;&lt;stats&gt;&lt;foulscommitted&gt;1&lt;/foulscommitted&gt;&lt;/stats&gt;&lt;event_incident_typefk&gt;18&lt;/event_incident_typefk&gt;&lt;elapsed&gt;10&lt;/elapsed&gt;&lt;player2&gt;24171&lt;/player2&gt;&lt;subtype&gt;shirt_pull&lt;/subtype&gt;&lt;player1&gt;30960&lt;/player1&gt;&lt;sortorder&gt;0&lt;/sortorder&gt;&lt;team&gt;9825&lt;/team&gt;&lt;n&gt;239&lt;/n&gt;&lt;type&gt;foulcommit&lt;/type&gt;&lt;id&gt;375564&lt;/id&gt;&lt;/value&gt;&lt;value&gt;&lt;stats&gt;&lt;foulscommitted&gt;1&lt;/foulscommitted&gt;&lt;/stats&gt;&lt;event_incident_typefk&gt;18&lt;/event_incident_typefk&gt;&lt;elapsed&gt;17&lt;/elapsed&gt;&lt;player2&gt;23115&lt;/player2&gt;&lt;subtype&gt;shirt_pull&lt;/subtype&gt;&lt;player1&gt;30960&lt;/player1&gt;&lt;sortorder&gt;1&lt;/sortorder&gt;&lt;team&gt;9825&lt;/team&gt;&lt;n&gt;251&lt;/n&gt;&lt;type&gt;foulcommit&lt;/type&gt;&lt;id&gt;375581&lt;/id&gt;&lt;/value&gt;&lt;value&gt;&lt;stats&gt;&lt;foulscommitted&gt;1&lt;/foulscommitted&gt;&lt;/stats&gt;&lt;event_incident_typefk&gt;37&lt;/event_incident_typefk&gt;&lt;elapsed&gt;22&lt;/elapsed&gt;&lt;player2&gt;31088&lt;/player2&gt;&lt;player1&gt;39297&lt;/player1&gt;&lt;sortorder&gt;1&lt;/sortorder&gt;&lt;team&gt;9825&lt;/team&gt;&lt;n&gt;252&lt;/n&gt;&lt;type&gt;foulcommit&lt;/type&gt;&lt;id&gt;375593&lt;/id&gt;&lt;/value&gt;&lt;value&gt;&lt;stats&gt;&lt;foulscommitted&gt;1&lt;/foulscommitted&gt;&lt;/stats&gt;&lt;event_incident_typefk&gt;320&lt;/event_incident_typefk&gt;&lt;elapsed&gt;33&lt;/elapsed&gt;&lt;player2&gt;30986&lt;/player2&gt;&lt;subtype&gt;pushing&lt;/subtype&gt;&lt;player1&gt;27267&lt;/player1&gt;&lt;sortorder&gt;0&lt;/sortorder&gt;&lt;team&gt;8659&lt;/team&gt;&lt;n&gt;266&lt;/n&gt;&lt;type&gt;foulcommit&lt;/type&gt;&lt;id&gt;375631&lt;/id&gt;&lt;/value&gt;&lt;value&gt;&lt;stats&gt;&lt;foulscommitted&gt;1&lt;/foulscommitted&gt;&lt;/stats&gt;&lt;event_incident_typefk&gt;37&lt;/event_incident_typefk&gt;&lt;elapsed&gt;39&lt;/elapsed&gt;&lt;player2&gt;31291&lt;/player2&gt;&lt;player1&gt;25922&lt;/player1&gt;&lt;sortorder&gt;0&lt;/sortorder&gt;&lt;team&gt;8659&lt;/team&gt;&lt;n&gt;272&lt;/n&gt;&lt;type&gt;foulcommit&lt;/type&gt;&lt;id&gt;375643&lt;/id&gt;&lt;/value&gt;&lt;value&gt;&lt;stats&gt;&lt;foulscommitted&gt;1&lt;/foulscommitted&gt;&lt;/stats&gt;&lt;event_incident_typefk&gt;37&lt;/event_incident_typefk&gt;&lt;elapsed&gt;40&lt;/elapsed&gt;&lt;player2&gt;30935&lt;/player2&gt;&lt;player1&gt;31088&lt;/player1&gt;&lt;sortorder&gt;0&lt;/sortorder&gt;&lt;team&gt;8659&lt;/team&gt;&lt;n&gt;270&lt;/n&gt;&lt;type&gt;foulcommit&lt;/type&gt;&lt;id&gt;375648&lt;/id&gt;&lt;/value&gt;&lt;value&gt;&lt;stats&gt;&lt;foulscommitted&gt;1&lt;/foulscommitted&gt;&lt;/stats&gt;&lt;event_incident_typefk&gt;320&lt;/event_incident_typefk&gt;&lt;elapsed&gt;48&lt;/elapsed&gt;&lt;player2&gt;24664&lt;/player2&gt;&lt;subtype&gt;pushing&lt;/subtype&gt;&lt;player1&gt;31013&lt;/player1&gt;&lt;sortorder&gt;0&lt;/sortorder&gt;&lt;team&gt;9825&lt;/team&gt;&lt;n&gt;286&lt;/n&gt;&lt;type&gt;foulcommit&lt;/type&gt;&lt;id&gt;375672&lt;/id&gt;&lt;/value&gt;&lt;value&gt;&lt;stats&gt;&lt;foulscommitted&gt;1&lt;/foulscommitted&gt;&lt;/stats&gt;&lt;event_incident_typefk&gt;37&lt;/event_incident_typefk&gt;&lt;elapsed&gt;53&lt;/elapsed&gt;&lt;player2&gt;26181&lt;/player2&gt;&lt;player1&gt;24171&lt;/player1&gt;&lt;sortorder&gt;1&lt;/sortorder&gt;&lt;team&gt;8659&lt;/team&gt;&lt;n&gt;287&lt;/n&gt;&lt;type&gt;foulcommit&lt;/type&gt;&lt;id&gt;375688&lt;/id&gt;&lt;/value&gt;&lt;value&gt;&lt;stats&gt;&lt;foulscommitted&gt;1&lt;/foulscommitted&gt;&lt;/stats&gt;&lt;event_incident_typefk&gt;320&lt;/event_incident_typefk&gt;&lt;elapsed&gt;54&lt;/elapsed&gt;&lt;player2&gt;26111&lt;/player2&gt;&lt;subtype&gt;pushing&lt;/subtype&gt;&lt;player1&gt;27267&lt;/player1&gt;&lt;sortorder&gt;1&lt;/sortorder&gt;&lt;team&gt;8659&lt;/team&gt;&lt;n&gt;291&lt;/n&gt;&lt;type&gt;foulcommit&lt;/type&gt;&lt;id&gt;375692&lt;/id&gt;&lt;/value&gt;&lt;value&gt;&lt;stats&gt;&lt;foulscommitted&gt;1&lt;/foulscommitted&gt;&lt;/stats&gt;&lt;event_incident_typefk&gt;37&lt;/event_incident_typefk&gt;&lt;elapsed&gt;56&lt;/elapsed&gt;&lt;player2&gt;31088&lt;/player2&gt;&lt;player1&gt;31291&lt;/player1&gt;&lt;sortorder&gt;1&lt;/sortorder&gt;&lt;team&gt;9825&lt;/team&gt;&lt;n&gt;293&lt;/n&gt;&lt;type&gt;foulcommit&lt;/type&gt;&lt;id&gt;375704&lt;/id&gt;&lt;/value&gt;&lt;value&gt;&lt;stats&gt;&lt;foulscommitted&gt;1&lt;/foulscommitted&gt;&lt;/stats&gt;&lt;event_incident_typefk&gt;18&lt;/event_incident_typefk&gt;&lt;elapsed&gt;57&lt;/elapsed&gt;&lt;player2&gt;26181&lt;/player2&gt;&lt;subtype&gt;shirt_pull&lt;/subtype&gt;&lt;player1&gt;25922&lt;/player1&gt;&lt;sortorder&gt;0&lt;/sortorder&gt;&lt;team&gt;8659&lt;/team&gt;&lt;n&gt;292&lt;/n&gt;&lt;type&gt;foulcommit&lt;/type&gt;&lt;id&gt;375709&lt;/id&gt;&lt;/value&gt;&lt;value&gt;&lt;stats&gt;&lt;foulscommitted&gt;1&lt;/foulscommitted&gt;&lt;/stats&gt;&lt;event_incident_typefk&gt;320&lt;/event_incident_typefk&gt;&lt;elapsed&gt;73&lt;/elapsed&gt;&lt;player2&gt;31088&lt;/player2&gt;&lt;subtype&gt;pushing&lt;/subtype&gt;&lt;player1&gt;30843&lt;/player1&gt;&lt;sortorder&gt;2&lt;/sortorder&gt;&lt;team&gt;9825&lt;/team&gt;&lt;n&gt;303&lt;/n&gt;&lt;type&gt;foulcommit&lt;/type&gt;&lt;id&gt;375782&lt;/id&gt;&lt;/value&gt;&lt;value&gt;&lt;stats&gt;&lt;foulscommitted&gt;1&lt;/foulscommitted&gt;&lt;/stats&gt;&lt;event_incident_typefk&gt;320&lt;/event_incident_typefk&gt;&lt;elapsed&gt;76&lt;/elapsed&gt;&lt;player2&gt;24728&lt;/player2&gt;&lt;subtype&gt;pushing&lt;/subtype&gt;&lt;player1&gt;30843&lt;/player1&gt;&lt;sortorder&gt;1&lt;/sortorder&gt;&lt;team&gt;9825&lt;/team&gt;&lt;n&gt;306&lt;/n&gt;&lt;type&gt;foulcommit&lt;/type&gt;&lt;id&gt;375796&lt;/id&gt;&lt;/value&gt;&lt;value&gt;&lt;stats&gt;&lt;foulscommitted&gt;1&lt;/foulscommitted&gt;&lt;/stats&gt;&lt;event_incident_typefk&gt;320&lt;/event_incident_typefk&gt;&lt;elapsed&gt;77&lt;/elapsed&gt;&lt;player2&gt;23115&lt;/player2&gt;&lt;subtype&gt;pushing&lt;/subtype&gt;&lt;player1&gt;30960&lt;/player1&gt;&lt;sortorder&gt;0&lt;/sortorder&gt;&lt;team&gt;9825&lt;/team&gt;&lt;n&gt;307&lt;/n&gt;&lt;type&gt;foulcommit&lt;/type&gt;&lt;id&gt;375799&lt;/id&gt;&lt;/value&gt;&lt;value&gt;&lt;stats&gt;&lt;foulscommitted&gt;1&lt;/foulscommitted&gt;&lt;/stats&gt;&lt;event_incident_typefk&gt;37&lt;/event_incident_typefk&gt;&lt;elapsed&gt;82&lt;/elapsed&gt;&lt;player2&gt;26181&lt;/player2&gt;&lt;player1&gt;31088&lt;/player1&gt;&lt;sortorder&gt;2&lt;/sortorder&gt;&lt;team&gt;8659&lt;/team&gt;&lt;n&gt;315&lt;/n&gt;&lt;type&gt;foulcommit&lt;/type&gt;&lt;id&gt;375832&lt;/id&gt;&lt;/value&gt;&lt;value&gt;&lt;stats&gt;&lt;foulscommitted&gt;1&lt;/foulscommitted&gt;&lt;/stats&gt;&lt;event_incident_typefk&gt;19&lt;/event_incident_typefk&gt;&lt;elapsed&gt;90&lt;/elapsed&gt;&lt;player2&gt;30935&lt;/player2&gt;&lt;subtype&gt;from_behind&lt;/subtype&gt;&lt;player1&gt;24728&lt;/player1&gt;&lt;sortorder&gt;2&lt;/sortorder&gt;&lt;team&gt;8659&lt;/team&gt;&lt;n&gt;322&lt;/n&gt;&lt;type&gt;foulcommit&lt;/type&gt;&lt;id&gt;375889&lt;/id&gt;&lt;/value&gt;&lt;value&gt;&lt;stats&gt;&lt;foulscommitted&gt;1&lt;/foulscommitted&gt;&lt;/stats&gt;&lt;elapsed_plus&gt;1&lt;/elapsed_plus&gt;&lt;event_incident_typefk&gt;320&lt;/event_incident_typefk&gt;&lt;elapsed&gt;90&lt;/elapsed&gt;&lt;player2&gt;24171&lt;/player2&gt;&lt;subtype&gt;pushing&lt;/subtype&gt;&lt;player1&gt;30935&lt;/player1&gt;&lt;sortorder&gt;1&lt;/sortorder&gt;&lt;team&gt;9825&lt;/team&gt;&lt;n&gt;323&lt;/n&gt;&lt;type&gt;foulcommit&lt;/type&gt;&lt;id&gt;375898&lt;/id&gt;&lt;/value&gt;&lt;/foulcommit&gt;, &lt;foulcommit&gt;&lt;value&gt;&lt;stats&gt;&lt;foulscommitted&gt;1&lt;/foulscommitted&gt;&lt;/stats&gt;&lt;event_incident_typefk&gt;37&lt;/event_incident_typefk&gt;&lt;elapsed&gt;12&lt;/elapsed&gt;&lt;player2&gt;38802&lt;/player2&gt;&lt;player1&gt;39647&lt;/player1&gt;&lt;sortorder&gt;0&lt;/sortorder&gt;&lt;team&gt;8650&lt;/team&gt;&lt;n&gt;275&lt;/n&gt;&lt;type&gt;foulcommit&lt;/type&gt;&lt;id&gt;377817&lt;/id&gt;&lt;/value&gt;&lt;value&gt;&lt;stats&gt;&lt;foulscommitted&gt;1&lt;/foulscommitted&gt;&lt;/stats&gt;&lt;event_incident_typefk&gt;37&lt;/event_incident_typefk&gt;&lt;elapsed&gt;15&lt;/elapsed&gt;&lt;player2&gt;24134&lt;/player2&gt;&lt;player1&gt;23927&lt;/player1&gt;&lt;sortorder&gt;1&lt;/sortorder&gt;&lt;team&gt;8472&lt;/team&gt;&lt;n&gt;280&lt;/n&gt;&lt;type&gt;foulcommit&lt;/type&gt;&lt;id&gt;377834&lt;/id&gt;&lt;/value&gt;&lt;value&gt;&lt;stats&gt;&lt;foulscommitted&gt;1&lt;/foulscommitted&gt;&lt;/stats&gt;&lt;event_incident_typefk&gt;37&lt;/event_incident_typefk&gt;&lt;elapsed&gt;16&lt;/elapsed&gt;&lt;player2&gt;24408&lt;/player2&gt;&lt;player1&gt;30853&lt;/player1&gt;&lt;sortorder&gt;0&lt;/sortorder&gt;&lt;team&gt;8650&lt;/team&gt;&lt;n&gt;281&lt;/n&gt;&lt;type&gt;foulcommit&lt;/type&gt;&lt;id&gt;377837&lt;/id&gt;&lt;/value&gt;&lt;value&gt;&lt;stats&gt;&lt;foulscommitted&gt;1&lt;/foulscommitted&gt;&lt;/stats&gt;&lt;event_incident_typefk&gt;37&lt;/event_incident_typefk&gt;&lt;elapsed&gt;19&lt;/elapsed&gt;&lt;player2&gt;30617&lt;/player2&gt;&lt;player1&gt;23927&lt;/player1&gt;&lt;sortorder&gt;1&lt;/sortorder&gt;&lt;team&gt;8472&lt;/team&gt;&lt;n&gt;283&lt;/n&gt;&lt;type&gt;foulcommit&lt;/type&gt;&lt;id&gt;377853&lt;/id&gt;&lt;/value&gt;&lt;value&gt;&lt;stats&gt;&lt;foulscommitted&gt;1&lt;/foulscommitted&gt;&lt;/stats&gt;&lt;event_incident_typefk&gt;18&lt;/event_incident_typefk&gt;&lt;elapsed&gt;24&lt;/elapsed&gt;&lt;player2&gt;36786&lt;/player2&gt;&lt;subtype&gt;shirt_pull&lt;/subtype&gt;&lt;player1&gt;37442&lt;/player1&gt;&lt;sortorder&gt;0&lt;/sortorder&gt;&lt;team&gt;8650&lt;/team&gt;&lt;n&gt;286&lt;/n&gt;&lt;type&gt;foulcommit&lt;/type&gt;&lt;id&gt;377872&lt;/id&gt;&lt;/value&gt;&lt;value&gt;&lt;stats&gt;&lt;foulscommitted&gt;1&lt;/foulscommitted&gt;&lt;/stats&gt;&lt;event_incident_typefk&gt;37&lt;/event_incident_typefk&gt;&lt;elapsed&gt;24&lt;/elapsed&gt;&lt;player2&gt;24134&lt;/player2&gt;&lt;player1&gt;30352&lt;/player1&gt;&lt;sortorder&gt;3&lt;/sortorder&gt;&lt;team&gt;8472&lt;/team&gt;&lt;n&gt;288&lt;/n&gt;&lt;type&gt;foulcommit&lt;/type&gt;&lt;id&gt;377875&lt;/id&gt;&lt;/value&gt;&lt;value&gt;&lt;stats&gt;&lt;foulscommitted&gt;1&lt;/foulscommitted&gt;&lt;/stats&gt;&lt;event_incident_typefk&gt;320&lt;/event_incident_typefk&gt;&lt;elapsed&gt;28&lt;/elapsed&gt;&lt;player2&gt;30853&lt;/player2&gt;&lt;subtype&gt;pushing&lt;/subtype&gt;&lt;player1&gt;36786&lt;/player1&gt;&lt;sortorder&gt;0&lt;/sortorder&gt;&lt;team&gt;8472&lt;/team&gt;&lt;n&gt;292&lt;/n&gt;&lt;type&gt;foulcommit&lt;/type&gt;&lt;id&gt;377887&lt;/id&gt;&lt;/value&gt;&lt;value&gt;&lt;stats&gt;&lt;foulscommitted&gt;1&lt;/foulscommitted&gt;&lt;/stats&gt;&lt;event_incident_typefk&gt;37&lt;/event_incident_typefk&gt;&lt;elapsed&gt;33&lt;/elapsed&gt;&lt;player2&gt;30618&lt;/player2&gt;&lt;player1&gt;24446&lt;/player1&gt;&lt;sortorder&gt;2&lt;/sortorder&gt;&lt;team&gt;8472&lt;/team&gt;&lt;n&gt;296&lt;/n&gt;&lt;type&gt;foulcommit&lt;/type&gt;&lt;id&gt;377899&lt;/id&gt;&lt;/value&gt;&lt;value&gt;&lt;stats&gt;&lt;foulscommitted&gt;1&lt;/foulscommitted&gt;&lt;/stats&gt;&lt;event_incident_typefk&gt;37&lt;/event_incident_typefk&gt;&lt;elapsed&gt;38&lt;/elapsed&gt;&lt;player2&gt;24446&lt;/player2&gt;&lt;player1&gt;24635&lt;/player1&gt;&lt;sortorder&gt;1&lt;/sortorder&gt;&lt;team&gt;8650&lt;/team&gt;&lt;n&gt;306&lt;/n&gt;&lt;type&gt;foulcommit&lt;/type&gt;&lt;id&gt;377921&lt;/id&gt;&lt;/value&gt;&lt;value&gt;&lt;stats&gt;&lt;foulscommitted&gt;1&lt;/foulscommitted&gt;&lt;/stats&gt;&lt;event_incident_typefk&gt;19&lt;/event_incident_typefk&gt;&lt;elapsed&gt;40&lt;/elapsed&gt;&lt;player2&gt;24635&lt;/player2&gt;&lt;subtype&gt;from_behind&lt;/subtype&gt;&lt;player1&gt;24446&lt;/player1&gt;&lt;sortorder&gt;2&lt;/sortorder&gt;&lt;team&gt;8472&lt;/team&gt;&lt;n&gt;309&lt;/n&gt;&lt;type&gt;foulcommit&lt;/type&gt;&lt;id&gt;377926&lt;/id&gt;&lt;/value&gt;&lt;value&gt;&lt;stats&gt;&lt;foulscommitted&gt;1&lt;/foulscommitted&gt;&lt;/stats&gt;&lt;event_incident_typefk&gt;37&lt;/event_incident_typefk&gt;&lt;elapsed&gt;41&lt;/elapsed&gt;&lt;player2&gt;23927&lt;/player2&gt;&lt;player1&gt;24134&lt;/player1&gt;&lt;sortorder&gt;0&lt;/sortorder&gt;&lt;team&gt;8650&lt;/team&gt;&lt;n&gt;311&lt;/n&gt;&lt;type&gt;foulcommit&lt;/type&gt;&lt;id&gt;377927&lt;/id&gt;&lt;/value&gt;&lt;value&gt;&lt;stats&gt;&lt;foulscommitted&gt;1&lt;/foulscommitted&gt;&lt;/stats&gt;&lt;event_incident_typefk&gt;37&lt;/event_incident_typefk&gt;&lt;elapsed&gt;48&lt;/elapsed&gt;&lt;player2&gt;23927&lt;/player2&gt;&lt;player1&gt;37442&lt;/player1&gt;&lt;sortorder&gt;0&lt;/sortorder&gt;&lt;team&gt;8650&lt;/team&gt;&lt;n&gt;317&lt;/n&gt;&lt;type&gt;foulcommit&lt;/type&gt;&lt;id&gt;377952&lt;/id&gt;&lt;/value&gt;&lt;value&gt;&lt;stats&gt;&lt;foulscommitted&gt;1&lt;/foulscommitted&gt;&lt;/stats&gt;&lt;event_incident_typefk&gt;19&lt;/event_incident_typefk&gt;&lt;elapsed&gt;51&lt;/elapsed&gt;&lt;player2&gt;38836&lt;/player2&gt;&lt;subtype&gt;from_behind&lt;/subtype&gt;&lt;player1&gt;30853&lt;/player1&gt;&lt;sortorder&gt;0&lt;/sortorder&gt;&lt;team&gt;8650&lt;/team&gt;&lt;n&gt;318&lt;/n&gt;&lt;type&gt;foulcommit&lt;/type&gt;&lt;id&gt;377958&lt;/id&gt;&lt;/value&gt;&lt;value&gt;&lt;stats&gt;&lt;foulscommitted&gt;1&lt;/foulscommitted&gt;&lt;/stats&gt;&lt;event_incident_typefk&gt;5&lt;/event_incident_typefk&gt;&lt;elapsed&gt;56&lt;/elapsed&gt;&lt;player2&gt;30352&lt;/player2&gt;&lt;subtype&gt;serious_foul&lt;/subtype&gt;&lt;player1&gt;37442&lt;/player1&gt;&lt;sortorder&gt;4&lt;/sortorder&gt;&lt;team&gt;8650&lt;/team&gt;&lt;n&gt;326&lt;/n&gt;&lt;type&gt;foulcommit&lt;/type&gt;&lt;id&gt;377975&lt;/id&gt;&lt;/value&gt;&lt;value&gt;&lt;stats&gt;&lt;foulscommitted&gt;1&lt;/foulscommitted&gt;&lt;/stats&gt;&lt;event_incident_typefk&gt;37&lt;/event_incident_typefk&gt;&lt;elapsed&gt;60&lt;/elapsed&gt;&lt;player2&gt;38836&lt;/player2&gt;&lt;player1&gt;30853&lt;/player1&gt;&lt;sortorder&gt;0&lt;/sortorder&gt;&lt;team&gt;8650&lt;/team&gt;&lt;n&gt;330&lt;/n&gt;&lt;type&gt;foulcommit&lt;/type&gt;&lt;id&gt;377983&lt;/id&gt;&lt;/value&gt;&lt;value&gt;&lt;stats&gt;&lt;foulscommitted&gt;1&lt;/foulscommitted&gt;&lt;/stats&gt;&lt;event_incident_typefk&gt;37&lt;/event_incident_typefk&gt;&lt;elapsed&gt;62&lt;/elapsed&gt;&lt;player2&gt;30889&lt;/player2&gt;&lt;player1&gt;17866&lt;/player1&gt;&lt;sortorder&gt;1&lt;/sortorder&gt;&lt;team&gt;8472&lt;/team&gt;&lt;n&gt;331&lt;/n&gt;&lt;type&gt;foulcommit&lt;/type&gt;&lt;id&gt;377990&lt;/id&gt;&lt;/value&gt;&lt;value&gt;&lt;stats&gt;&lt;foulscommitted&gt;1&lt;/foulscommitted&gt;&lt;/stats&gt;&lt;event_incident_typefk&gt;37&lt;/event_incident_typefk&gt;&lt;elapsed&gt;64&lt;/elapsed&gt;&lt;player2&gt;24410&lt;/player2&gt;&lt;player1&gt;39647&lt;/player1&gt;&lt;sortorder&gt;1&lt;/sortorder&gt;&lt;team&gt;8650&lt;/team&gt;&lt;n&gt;332&lt;/n&gt;&lt;type&gt;foulcommit&lt;/type&gt;&lt;id&gt;377993&lt;/id&gt;&lt;/value&gt;&lt;value&gt;&lt;stats&gt;&lt;foulscommitted&gt;1&lt;/foulscommitted&gt;&lt;/stats&gt;&lt;event_incident_typefk&gt;37&lt;/event_incident_typefk&gt;&lt;elapsed&gt;68&lt;/elapsed&gt;&lt;player2&gt;30618&lt;/player2&gt;&lt;player1&gt;23927&lt;/player1&gt;&lt;sortorder&gt;0&lt;/sortorder&gt;&lt;team&gt;8472&lt;/team&gt;&lt;n&gt;334&lt;/n&gt;&lt;type&gt;foulcommit&lt;/type&gt;&lt;id&gt;378006&lt;/id&gt;&lt;/value&gt;&lt;value&gt;&lt;stats&gt;&lt;foulscommitted&gt;1&lt;/foulscommitted&gt;&lt;/stats&gt;&lt;event_incident_typefk&gt;19&lt;/event_incident_typefk&gt;&lt;elapsed&gt;71&lt;/elapsed&gt;&lt;player2&gt;24800&lt;/player2&gt;&lt;subtype&gt;from_behind&lt;/subtype&gt;&lt;player1&gt;38836&lt;/player1&gt;&lt;sortorder&gt;0&lt;/sortorder&gt;&lt;team&gt;8472&lt;/team&gt;&lt;n&gt;335&lt;/n&gt;&lt;type&gt;foulcommit&lt;/type&gt;&lt;id&gt;378012&lt;/id&gt;&lt;/value&gt;&lt;value&gt;&lt;stats&gt;&lt;foulscommitted&gt;1&lt;/foulscommitted&gt;&lt;/stats&gt;&lt;event_incident_typefk&gt;37&lt;/event_incident_typefk&gt;&lt;elapsed&gt;80&lt;/elapsed&gt;&lt;player2&gt;30889&lt;/player2&gt;&lt;player1&gt;17866&lt;/player1&gt;&lt;sortorder&gt;0&lt;/sortorder&gt;&lt;team&gt;8472&lt;/team&gt;&lt;n&gt;342&lt;/n&gt;&lt;type&gt;foulcommit&lt;/type&gt;&lt;id&gt;378031&lt;/id&gt;&lt;/value&gt;&lt;value&gt;&lt;stats&gt;&lt;foulscommitted&gt;1&lt;/foulscommitted&gt;&lt;/stats&gt;&lt;event_incident_typefk&gt;37&lt;/event_incident_typefk&gt;&lt;elapsed&gt;85&lt;/elapsed&gt;&lt;player2&gt;30954&lt;/player2&gt;&lt;player1&gt;39647&lt;/player1&gt;&lt;sortorder&gt;0&lt;/sortorder&gt;&lt;team&gt;8650&lt;/team&gt;&lt;n&gt;345&lt;/n&gt;&lt;type&gt;foulcommit&lt;/type&gt;&lt;id&gt;378044&lt;/id&gt;&lt;/value&gt;&lt;value&gt;&lt;stats&gt;&lt;foulscommitted&gt;1&lt;/foulscommitted&gt;&lt;/stats&gt;&lt;event_incident_typefk&gt;37&lt;/event_incident_typefk&gt;&lt;elapsed&gt;88&lt;/elapsed&gt;&lt;player2&gt;30660&lt;/player2&gt;&lt;player1&gt;33316&lt;/player1&gt;&lt;sortorder&gt;0&lt;/sortorder&gt;&lt;team&gt;8472&lt;/team&gt;&lt;n&gt;348&lt;/n&gt;&lt;type&gt;foulcommit&lt;/type&gt;&lt;id&gt;378050&lt;/id&gt;&lt;/value&gt;&lt;value&gt;&lt;stats&gt;&lt;foulscommitted&gt;1&lt;/foulscommitted&gt;&lt;/stats&gt;&lt;event_incident_typefk&gt;320&lt;/event_incident_typefk&gt;&lt;elapsed&gt;90&lt;/elapsed&gt;&lt;player2&gt;36786&lt;/player2&gt;&lt;subtype&gt;pushing&lt;/subtype&gt;&lt;player1&gt;46621&lt;/player1&gt;&lt;sortorder&gt;2&lt;/sortorder&gt;&lt;team&gt;8650&lt;/team&gt;&lt;n&gt;352&lt;/n&gt;&lt;type&gt;foulcommit&lt;/type&gt;&lt;id&gt;378059&lt;/id&gt;&lt;/value&gt;&lt;value&gt;&lt;stats&gt;&lt;foulscommitted&gt;1&lt;/foulscommitted&gt;&lt;/stats&gt;&lt;event_incident_typefk&gt;37&lt;/event_incident_typefk&gt;&lt;elapsed&gt;90&lt;/elapsed&gt;&lt;player2&gt;30889&lt;/player2&gt;&lt;player1&gt;17866&lt;/player1&gt;&lt;sortorder&gt;4&lt;/sortorder&gt;&lt;team&gt;8472&lt;/team&gt;&lt;n&gt;354&lt;/n&gt;&lt;type&gt;foulcommit&lt;/type&gt;&lt;id&gt;378061&lt;/id&gt;&lt;/value&gt;&lt;value&gt;&lt;stats&gt;&lt;foulscommitted&gt;1&lt;/foulscommitted&gt;&lt;/stats&gt;&lt;elapsed_plus&gt;4&lt;/elapsed_plus&gt;&lt;event_incident_typefk&gt;37&lt;/event_incident_typefk&gt;&lt;elapsed&gt;90&lt;/elapsed&gt;&lt;player2&gt;46621&lt;/player2&gt;&lt;player1&gt;17866&lt;/player1&gt;&lt;sortorder&gt;0&lt;/sortorder&gt;&lt;team&gt;8472&lt;/team&gt;&lt;n&gt;357&lt;/n&gt;&lt;type&gt;foulcommit&lt;/type&gt;&lt;id&gt;378068&lt;/id&gt;&lt;/value&gt;&lt;/foulcommit&gt; | -- Thông tin về các vi phạm trong trận đấu
  - card TEXT | alias: Thẻ, Thẻ, Thẻ Cảnh Báo | values: &lt;card&gt;&lt;value&gt;&lt;comment&gt;y&lt;/comment&gt;&lt;stats&gt;&lt;ycards&gt;1&lt;/ycards&gt;&lt;/stats&gt;&lt;event_incident_typefk&gt;73&lt;/event_incident_typefk&gt;&lt;elapsed&gt;78&lt;/elapsed&gt;&lt;card_type&gt;y&lt;/card_type&gt;&lt;subtype&gt;serious_fouls&lt;/subtype&gt;&lt;player1&gt;24157&lt;/player1&gt;&lt;sortorder&gt;1&lt;/sortorder&gt;&lt;team&gt;10260&lt;/team&gt;&lt;n&gt;342&lt;/n&gt;&lt;type&gt;card&lt;/type&gt;&lt;id&gt;379481&lt;/id&gt;&lt;/value&gt;&lt;value&gt;&lt;comment&gt;y&lt;/comment&gt;&lt;stats&gt;&lt;ycards&gt;1&lt;/ycards&gt;&lt;/stats&gt;&lt;event_incident_typefk&gt;73&lt;/event_incident_typefk&gt;&lt;elapsed&gt;82&lt;/elapsed&gt;&lt;card_type&gt;y&lt;/card_type&gt;&lt;subtype&gt;serious_fouls&lt;/subtype&gt;&lt;player1&gt;30362&lt;/player1&gt;&lt;sortorder&gt;1&lt;/sortorder&gt;&lt;team&gt;10260&lt;/team&gt;&lt;n&gt;346&lt;/n&gt;&lt;type&gt;card&lt;/type&gt;&lt;id&gt;379503&lt;/id&gt;&lt;/value&gt;&lt;value&gt;&lt;comment&gt;y&lt;/comment&gt;&lt;stats&gt;&lt;ycards&gt;1&lt;/ycards&gt;&lt;/stats&gt;&lt;event_incident_typefk&gt;70&lt;/event_incident_typefk&gt;&lt;elapsed&gt;90&lt;/elapsed&gt;&lt;card_type&gt;y&lt;/card_type&gt;&lt;player1&gt;30829&lt;/player1&gt;&lt;sortorder&gt;1&lt;/sortorder&gt;&lt;team&gt;10260&lt;/team&gt;&lt;n&gt;353&lt;/n&gt;&lt;type&gt;card&lt;/type&gt;&lt;id&gt;379547&lt;/id&gt;&lt;/value&gt;&lt;/card&gt;, &lt;card /&gt;, &lt;card&gt;&lt;value&gt;&lt;comment&gt;y&lt;/comment&gt;&lt;stats&gt;&lt;ycards&gt;1&lt;/ycards&gt;&lt;/stats&gt;&lt;event_incident_typefk&gt;73&lt;/event_incident_typefk&gt;&lt;elapsed&gt;56&lt;/elapsed&gt;&lt;card_type&gt;y&lt;/card_type&gt;&lt;subtype&gt;serious_fouls&lt;/subtype&gt;&lt;player1&gt;37442&lt;/player1&gt;&lt;sortorder&gt;5&lt;/sortorder&gt;&lt;team&gt;8650&lt;/team&gt;&lt;n&gt;327&lt;/n&gt;&lt;type&gt;card&lt;/type&gt;&lt;id&gt;377978&lt;/id&gt;&lt;/value&gt;&lt;value&gt;&lt;comment&gt;y&lt;/comment&gt;&lt;stats&gt;&lt;ycards&gt;1&lt;/ycards&gt;&lt;/stats&gt;&lt;event_incident_typefk&gt;25&lt;/event_incident_typefk&gt;&lt;elapsed&gt;90&lt;/elapsed&gt;&lt;card_type&gt;y&lt;/card_type&gt;&lt;subtype&gt;stall_time&lt;/subtype&gt;&lt;player1&gt;46621&lt;/player1&gt;&lt;sortorder&gt;3&lt;/sortorder&gt;&lt;team&gt;8650&lt;/team&gt;&lt;n&gt;353&lt;/n&gt;&lt;type&gt;card&lt;/type&gt;&lt;id&gt;378060&lt;/id&gt;&lt;/value&gt;&lt;/card&gt; | -- Thông tin về thẻ phạt trong trận đấu
  - VCD REAL | alias: Điểm cược tổng bàn thắng, Điểm cược tổng bàn đấu, Điểm cược tổng bàn thắng đấu | values: 3.4, 3.25, 3.75 | -- Điểm cược cho tổng số bàn thắng trong trận đấu.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 (cắt bớt để vừa ô Excel)</t>
        </is>
      </c>
      <c r="H27" s="10" t="inlineStr">
        <is>
          <t>SELECT DISTINCT T1.league_id 
FROM Match AS T1 
JOIN Country AS T2 ON T1.country_id = T2.id 
WHERE T2.name = 'Germany';</t>
        </is>
      </c>
      <c r="I27" s="10" t="inlineStr">
        <is>
          <t>SELECT t2.name FROM Country AS t1 INNER JOIN League AS t2 ON t1.id = t2.country_id WHERE t1.name = 'Germany'</t>
        </is>
      </c>
      <c r="J27" s="10" t="inlineStr">
        <is>
          <t>ok</t>
        </is>
      </c>
      <c r="K27" s="10" t="inlineStr">
        <is>
          <t>Thiếu bảng cần thiết trong schema</t>
        </is>
      </c>
      <c r="L27" s="11" t="n"/>
      <c r="M27" s="10">
        <f>IF(L27="","",IF(L27=K27,"Có","Không"))</f>
        <v/>
      </c>
      <c r="N27" s="11" t="n"/>
      <c r="O27" s="11" t="n"/>
      <c r="P27" s="11" t="n"/>
    </row>
    <row r="28" ht="150" customHeight="1">
      <c r="A28" s="10" t="n">
        <v>27</v>
      </c>
      <c r="B28" s="10" t="inlineStr">
        <is>
          <t>A</t>
        </is>
      </c>
      <c r="C28" s="10" t="inlineStr">
        <is>
          <t>ViBIRD</t>
        </is>
      </c>
      <c r="D28" s="10" t="inlineStr">
        <is>
          <t>Qwen2.5-Coder-7B / full</t>
        </is>
      </c>
      <c r="E28" s="10" t="inlineStr">
        <is>
          <t>Có bao nhiêu trận đấu trong mùa giải 2008/2009 được tổ chức ở Belgium?</t>
        </is>
      </c>
      <c r="F28" s="10" t="inlineStr">
        <is>
          <t>Belgium tham chiếu tới Country.name = 'Belgium';</t>
        </is>
      </c>
      <c r="G28"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date TEXT | alias: Ngày Trận Đấu, Ngày Đấu, Ngày Thi Đấu | values: 2008-08-17 00:00:00, 2008-08-16 00:00:00, 2008-09-24 00:00:00 | -- Ngày mà trận đấu được tổ chức.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home_team_goal INTEGER | alias: Số Bàn Thắng Đội Nhà, Bàn Thắng Đội Nhà, Số Bàn Đội Nhà | values: 1, 0, 5 | -- Số bàn thắng ghi được bởi đội nhà trong trận đấu.
  - away_team_goal INTEGER | alias: Số Bàn Thắng Đội Khách, Bàn Thắng Đội Khách, Số Bàn Đội Khách | values: 1, 0, 3 | -- Số bàn thắng ghi được bởi đội khách trong trận đấu.
  - home_player_X9 INTEGER | alias: Người chơi nhà X9, Người chơi đội nhà X9, Người chơi đội chủ nhà X9 | values: 8, 4, 2 | -- Số ID của người chơi thứ 9 trên đội nhà trong trận đấu.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VCH REAL | alias: Điểm cược tổng bàn thắng lẻ, Điểm cược tổng bàn lẻ, Điểm cược tổng bàn thắng lẻ đấu | values: 1.65, 2.0, 2.35 | -- Điểm cược cho tổng số bàn thắng là số lẻ trong trận đấu.
  - VCD REAL | alias: Điểm cược tổng bàn thắng, Điểm cược tổng bàn đấu, Điểm cược tổng bàn thắng đấu | values: 3.4, 3.25, 3.75 | -- Điểm cược cho tổng số bàn thắng trong trận đấu.
  - GBH REAL | alias: Odds_X, Xác Suất Hòa, Odds_Hòa | values: 1.78, 1.85, 2.5 | -- Xác suất trận đấu kết thúc với kết quả hòa.
  - BSH REAL | alias: Odd_Under, Xác Suất Dưới, Odds_Dưới | values: 1.73, 1.91, 2.3 | -- Xác suất tổng số bàn thắng trong trận đấu nhỏ hơn 2.5.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t>
        </is>
      </c>
      <c r="H28" s="10" t="inlineStr">
        <is>
          <t>SELECT COUNT(*) 
FROM Match 
JOIN Country ON Match.country_id = Country.id 
WHERE Country.name = 'Belgium' AND Match.date LIKE '2008%';</t>
        </is>
      </c>
      <c r="I28" s="10" t="inlineStr">
        <is>
          <t>SELECT COUNT(t2.id) FROM Country AS t1 INNER JOIN Match AS t2 ON t1.id = t2.country_id WHERE t1.name = 'Belgium' AND t2.season = '2008/2009'</t>
        </is>
      </c>
      <c r="J28" s="10" t="inlineStr">
        <is>
          <t>ok</t>
        </is>
      </c>
      <c r="K28" s="10" t="inlineStr">
        <is>
          <t>Thiếu bảng cần thiết trong schema</t>
        </is>
      </c>
      <c r="L28" s="11" t="n"/>
      <c r="M28" s="10">
        <f>IF(L28="","",IF(L28=K28,"Có","Không"))</f>
        <v/>
      </c>
      <c r="N28" s="11" t="n"/>
      <c r="O28" s="11" t="n"/>
      <c r="P28" s="11" t="n"/>
    </row>
    <row r="29" ht="150" customHeight="1">
      <c r="A29" s="10" t="n">
        <v>28</v>
      </c>
      <c r="B29" s="10" t="inlineStr">
        <is>
          <t>A</t>
        </is>
      </c>
      <c r="C29" s="10" t="inlineStr">
        <is>
          <t>ViBIRD</t>
        </is>
      </c>
      <c r="D29" s="10" t="inlineStr">
        <is>
          <t>Qwen2.5-Coder-7B / full</t>
        </is>
      </c>
      <c r="E29" s="10" t="inlineStr">
        <is>
          <t>Giới tính của bệnh nhân được chẩn đoán là PSS trong một lần khám sức khỏe và có mức độ protein C-reactive trong máu là 2+, creatinine là 1 và LDH là 123 trong một lần xét nghiệm máu?</t>
        </is>
      </c>
      <c r="F29" s="10" t="inlineStr">
        <is>
          <t>PSS' ám chỉ đến chẩn đoán; mức độ protein C-reactive trong máu là 2+ ám chỉ đến CRP &gt; 2; creatinine 1 ám chỉ đến CRE = 1; LDH 123 ám chỉ đến LDH = 123</t>
        </is>
      </c>
      <c r="G29"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LAC TEXT | alias: Kết quả xét nghiệm LAC, Kết quả xét nghiệm thời gian đông máu, Kết quả xét nghiệm thời gian đông máu tương đối | values: -, + | -- Kết quả của xét nghiệm thời gian đông máu tương đối (LAC).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CRE REAL | alias: Creatinine, Creatin, Creatinin | values: 0.8, 0.9, 0.7 | -- Nồng độ creatinine trong máu, chỉ thị chức năng thận.
  - CPK INTEGER | alias: Nồng độ Creatine Phosphokinase, CPK, Creatine Phosphokinase | values: 9, 10, 11 | -- Lượng creatine phosphokinase trong máu được đo lường.
  - TAT INTEGER | alias: Nồng độ TAT, Nồng độ T-Antistreptoligosaccarit, Nồng độ kháng thể chống streptococcus | values: 77, 108, 115 | -- Nồng độ của kháng thể chống streptococcus trong máu.
  - TAT2 INTEGER | alias: Nồng độ TAT lần 2, Nồng độ T-Antistreptoligosaccarit lần 2, Nồng độ kháng thể chống streptococcus lần 2 | values: 113, 88, 104 | -- Nồng độ của kháng thể chống streptococcus trong máu lần thứ hai.
  - CRP TEXT | alias: Nồng độ CRP, Nồng độ C-Reactive Protein, Nồng độ protein phản ứng với C | values: 0.6, 2.7, 1.2 | -- Nồng độ protein phản ứng với C trong máu.
  - SSA TEXT | alias: Nồng độ SSA, Nồng độ protein SSA, Protein SSA | values: 0, negative, 16 | -- Lượng protein SSA được đo lường trong mẫu thử nghiệm.
Table: Patient (Bệnh nhân)
  - ID INTEGER | alias: Mã bệnh nhân, Mã BN, ID BN | values: 2110, 11408, 12052 | -- Mã định danh duy nhất cho mỗi bệnh nhân
  - SEX TEXT | alias: Giới tính, Giới, Phái | values: F, M,  | -- Giới tính của bệnh nhân (nam hoặc nữ)
  - Diagnosis TEXT | alias: Chẩn đoán, Chẩn đoán ban đầu, Đề xuất chẩn đoán | values: RA susp., PSS, SLE | -- Chẩn đoán ban đầu hoặc đề xuất chẩn đoán của bệnh nhân
Foreign keys:
  Examination.ID = Patient.ID
  Laboratory.ID = Patient.ID</t>
        </is>
      </c>
      <c r="H29" s="10" t="inlineStr">
        <is>
          <t>SELECT P.SEX 
FROM Patient P 
JOIN Examination E ON P.ID = E.ID 
JOIN Laboratory L ON P.ID = L.ID 
WHERE P.Diagnosis = 'PSS' AND L.CRP = 2 AND L.CRE = 1 AND L.LDH = 123;</t>
        </is>
      </c>
      <c r="I29" s="10" t="inlineStr">
        <is>
          <t>SELECT T1.SEX FROM Patient AS T1 INNER JOIN Examination AS T2 ON T1.ID = T2.ID INNER JOIN Laboratory AS T3 ON T3.ID = T2.ID WHERE T2.Diagnosis = 'PSS' AND T3.CRP = '2+' AND T3.CRE = 1.0 AND T3.LDH = 123</t>
        </is>
      </c>
      <c r="J29" s="10" t="inlineStr">
        <is>
          <t>ok</t>
        </is>
      </c>
      <c r="K29" s="10" t="inlineStr">
        <is>
          <t>Sai điều kiện hoặc giá trị</t>
        </is>
      </c>
      <c r="L29" s="11" t="n"/>
      <c r="M29" s="10">
        <f>IF(L29="","",IF(L29=K29,"Có","Không"))</f>
        <v/>
      </c>
      <c r="N29" s="11" t="n"/>
      <c r="O29" s="11" t="n"/>
      <c r="P29" s="11" t="n"/>
    </row>
    <row r="30" ht="150" customHeight="1">
      <c r="A30" s="10" t="n">
        <v>29</v>
      </c>
      <c r="B30" s="10" t="inlineStr">
        <is>
          <t>A</t>
        </is>
      </c>
      <c r="C30" s="10" t="inlineStr">
        <is>
          <t>ViBIRD</t>
        </is>
      </c>
      <c r="D30" s="10" t="inlineStr">
        <is>
          <t>Qwen2.5-Coder-7B / full</t>
        </is>
      </c>
      <c r="E30" s="10" t="inlineStr">
        <is>
          <t>Liệt kê tất cả các bệnh nhân ngoại khoa có creatinine phosphokinase trong phạm vi bình thường. Hãy cho tôi các id duy nhất.</t>
        </is>
      </c>
      <c r="F30" s="10" t="inlineStr">
        <is>
          <t>ngoại khoa tham chiếu tới Admission = '-'; phạm vi bình thường của creatinine phosphokinase tham chiếu tới CPK &lt; 250;</t>
        </is>
      </c>
      <c r="G30"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Diagnosis TEXT | alias: Chẩn đoán, Chẩn đoán ban đầu, Đề xuất chẩn đoán | values: RA susp., PSS, SLE | -- Chẩn đoán ban đầu hoặc đề xuất chẩn đoán của bệnh nhân
Foreign keys:
  Examination.ID = Patient.ID
  Laboratory.ID = Patient.ID</t>
        </is>
      </c>
      <c r="H30" s="10" t="inlineStr">
        <is>
          <t>SELECT DISTINCT Patient.ID 
FROM Patient 
JOIN Laboratory ON Patient.ID = Laboratory.ID 
WHERE Laboratory.CPK &lt; 250 AND Patient.Description IS NULL;</t>
        </is>
      </c>
      <c r="I30" s="10" t="inlineStr">
        <is>
          <t>SELECT DISTINCT T1.ID FROM Patient AS T1 INNER JOIN Laboratory AS T2 ON T1.ID = T2.ID WHERE T2.CPK &lt; 250 AND T1.Admission = '-'</t>
        </is>
      </c>
      <c r="J30" s="10" t="inlineStr">
        <is>
          <t>ok</t>
        </is>
      </c>
      <c r="K30" s="10" t="inlineStr">
        <is>
          <t>Sai cột</t>
        </is>
      </c>
      <c r="L30" s="11" t="n"/>
      <c r="M30" s="10">
        <f>IF(L30="","",IF(L30=K30,"Có","Không"))</f>
        <v/>
      </c>
      <c r="N30" s="11" t="n"/>
      <c r="O30" s="11" t="n"/>
      <c r="P30" s="11" t="n"/>
    </row>
    <row r="31" ht="150" customHeight="1">
      <c r="A31" s="10" t="n">
        <v>30</v>
      </c>
      <c r="B31" s="10" t="inlineStr">
        <is>
          <t>A</t>
        </is>
      </c>
      <c r="C31" s="10" t="inlineStr">
        <is>
          <t>ViBIRD</t>
        </is>
      </c>
      <c r="D31" s="10" t="inlineStr">
        <is>
          <t>Qwen2.5-Coder-7B / full</t>
        </is>
      </c>
      <c r="E31" s="10" t="inlineStr">
        <is>
          <t>Trong số các bệnh nhân có mức IGG ở mức bình thường, có bao nhiêu người được nhập viện?</t>
        </is>
      </c>
      <c r="F31" s="10" t="inlineStr">
        <is>
          <t>mức IGG ở mức bình thường tham chiếu tới 900 &lt; IGG &lt; 2000; nhập viện tham chiếu tới Admission = '+';</t>
        </is>
      </c>
      <c r="G31" s="10" t="inlineStr">
        <is>
          <t>Table: Examination (Kết quả xét nghiệm)
  - ID INTEGER | alias: Mã xét nghiệm, Số mẫu, Mã bệnh nhân | values: 14872, 48473, 102490 | -- Mã duy nhất để xác định mỗi lần xét nghiệm.
  - aCL IgG REAL | alias: Nồng độ kháng thể kháng nhân tự miễn IgG, Nồng độ aCL IgG, Kháng thể tự miễn IgG | values: 1.3, 4.3, 2.3 | -- Nồng độ của kháng thể kháng nhân tự miễn loại IgG trong mẫu xét nghiệm.
  - aCL IgM REAL | alias: Nồng độ kháng thể kháng nhân tự miễn IgM, Nồng độ aCL IgM, Kháng thể tự miễn IgM | values: 1.6, 4.6, 2.5 | -- Nồng độ của kháng thể kháng nhân tự miễn loại IgM trong mẫu xét nghiệm.
  - aCL IgA INTEGER | alias: Nồng độ kháng thể kháng nhân tự miễn IgA, Nồng độ aCL IgA, Kháng thể tự miễn IgA | values: 0, 3, 4 | -- Nồng độ của kháng thể kháng nhân tự miễn loại IgA trong mẫu xét nghiệm.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TG INTEGER | alias: Nồng độ Triglyceride, Triglycerid, TG | values: 185, 205, 254 | -- Lượng triglyceride trong máu được đo lường.
  - FG REAL | alias: Nồng độ Fibrinogen, Fibrinogen, Fg | values: 27.0, 38.6, 27.6 | -- Nồng độ fibrinogen trong máu được đo lường.
  - IGG INTEGER | alias: Nồng độ IGG, Nồng độ IgG, Nồng độ miễn dịch globulin G | values: 339, 771, 430 | -- Nồng độ của miễn dịch globulin G trong máu.
  - IGA INTEGER | alias: Nồng độ IGA, Nồng độ IgA, Nồng độ miễn dịch globulin A | values: 145, 188, 118 | -- Nồng độ của miễn dịch globulin A trong máu.
  - IGM INTEGER | alias: Nồng độ IGM, Nồng độ IgM, Nồng độ miễn dịch globulin M | values: 46, 132, 56 | -- Nồng độ của miễn dịch globulin M trong máu.
Table: Patient (Bệnh nhân)
  - ID INTEGER | alias: Mã bệnh nhân, Mã BN, ID BN | values: 2110, 11408, 12052 | -- Mã định danh duy nhất cho mỗi bệnh nhân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31" s="10" t="inlineStr">
        <is>
          <t>SELECT COUNT(*) 
FROM Examination 
JOIN Laboratory ON Examination.ID = Laboratory.ID 
JOIN Patient ON Examination.ID = Patient.ID 
WHERE IGG BETWEEN 900 AND 2000 AND Admission = '+';</t>
        </is>
      </c>
      <c r="I31" s="10" t="inlineStr">
        <is>
          <t>SELECT COUNT(T1.ID) FROM Patient AS T1 INNER JOIN Laboratory AS T2 ON T1.ID = T2.ID WHERE T2.IGG &gt; 900 AND T2.IGG &lt;2000 AND  T1.Admission = '+'</t>
        </is>
      </c>
      <c r="J31" s="10" t="inlineStr">
        <is>
          <t>ok</t>
        </is>
      </c>
      <c r="K31" s="10" t="inlineStr">
        <is>
          <t>Chọn sai bảng</t>
        </is>
      </c>
      <c r="L31" s="11" t="n"/>
      <c r="M31" s="10">
        <f>IF(L31="","",IF(L31=K31,"Có","Không"))</f>
        <v/>
      </c>
      <c r="N31" s="11" t="n"/>
      <c r="O31" s="11" t="n"/>
      <c r="P31" s="11" t="n"/>
    </row>
    <row r="32" ht="150" customHeight="1">
      <c r="A32" s="10" t="n">
        <v>31</v>
      </c>
      <c r="B32" s="10" t="inlineStr">
        <is>
          <t>A</t>
        </is>
      </c>
      <c r="C32" s="10" t="inlineStr">
        <is>
          <t>ViBIRD</t>
        </is>
      </c>
      <c r="D32" s="10" t="inlineStr">
        <is>
          <t>Qwen2.5-Coder-7B / full</t>
        </is>
      </c>
      <c r="E32" s="10" t="inlineStr">
        <is>
          <t>Đối với bệnh nhân có mức độ alkaliphosphatase bất thường, có bao nhiêu người được nhập viện?</t>
        </is>
      </c>
      <c r="F32" s="10" t="inlineStr">
        <is>
          <t>mức độ alkaliphosphatase bất thường ám chỉ ALP &gt;= 300; nhập viện ám chỉ Admission = '+';</t>
        </is>
      </c>
      <c r="G32" s="10" t="inlineStr">
        <is>
          <t>Table: Examination (Kết quả xét nghiệm)
  - ID INTEGER | alias: Mã xét nghiệm, Số mẫu, Mã bệnh nhân | values: 14872, 48473, 102490 | -- Mã duy nhất để xác định mỗi lần xét nghiệm.
  - Diagnosis TEXT | alias: Chẩn đoán, Điều trị, Phân tích chẩn đoán | values: MCTD, AMI, SLE, PSS | -- Chẩn đoán dựa trên kết quả xét nghiệm và các triệu chứng lâm sàng.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ALP INTEGER | alias: ALP (Alkaline phosphatase), Phosphataza alcalina, AL | values: 166, 154, 138 | -- Nồng độ enzym ALP trong máu, chỉ thị chức năng gan và xương.
  - CPK INTEGER | alias: Nồng độ Creatine Phosphokinase, CPK, Creatine Phosphokinase | values: 9, 10, 11 | -- Lượng creatine phosphokinase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2" s="10" t="inlineStr">
        <is>
          <t>SELECT COUNT(DISTINCT Patient.ID) 
FROM Examination 
JOIN Laboratory ON Examination.ID = Laboratory.ID 
JOIN Patient ON Examination.ID = Patient.ID 
WHERE Laboratory.ALP &gt;= 300 AND Patient.Admission = '+';</t>
        </is>
      </c>
      <c r="I32" s="10" t="inlineStr">
        <is>
          <t>SELECT COUNT(T1.ID) FROM Patient AS T1 INNER JOIN Laboratory AS T2 ON T1.ID = T2.ID WHERE T2.ALP &gt;= 300 AND T1.Admission = '+'</t>
        </is>
      </c>
      <c r="J32" s="10" t="inlineStr">
        <is>
          <t>ok</t>
        </is>
      </c>
      <c r="K32" s="10" t="inlineStr">
        <is>
          <t>Chọn sai bảng</t>
        </is>
      </c>
      <c r="L32" s="11" t="n"/>
      <c r="M32" s="10">
        <f>IF(L32="","",IF(L32=K32,"Có","Không"))</f>
        <v/>
      </c>
      <c r="N32" s="11" t="n"/>
      <c r="O32" s="11" t="n"/>
      <c r="P32" s="11" t="n"/>
    </row>
    <row r="33" ht="150" customHeight="1">
      <c r="A33" s="10" t="n">
        <v>32</v>
      </c>
      <c r="B33" s="10" t="inlineStr">
        <is>
          <t>A</t>
        </is>
      </c>
      <c r="C33" s="10" t="inlineStr">
        <is>
          <t>ViBIRD</t>
        </is>
      </c>
      <c r="D33" s="10" t="inlineStr">
        <is>
          <t>Qwen2.5-Coder-7B / full</t>
        </is>
      </c>
      <c r="E33" s="10" t="inlineStr">
        <is>
          <t>Ngày sinh của bệnh nhân lớn tuổi nhất có đường huyết bất thường là khi nào?</t>
        </is>
      </c>
      <c r="F33" s="10" t="inlineStr">
        <is>
          <t>bệnh nhân lớn tuổi nhất tham chiếu tới MIN(Birthday); đường huyết bất thường tham chiếu tới GLU &gt; 180;</t>
        </is>
      </c>
      <c r="G33" s="10" t="inlineStr">
        <is>
          <t>Table: Examination (Kết quả xét nghiệm)
  - ID INTEGER | alias: Mã xét nghiệm, Số mẫu, Mã bệnh nhân | values: 14872, 48473, 102490 | -- Mã duy nhất để xác định mỗi lần xét nghiệm.
  - Examination Date DATE | alias: Ngày thực hiện xét nghiệm, Ngày lấy mẫu, Ngày xét nghiệm | values: 1997-05-27, 1992-12-21, 1995-04-20 | -- Ngày khi mẫu xét nghiệm được thu thập.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 Diagnosis TEXT | alias: Chẩn đoán, Chẩn đoán ban đầu, Đề xuất chẩn đoán | values: RA susp., PSS, SLE | -- Chẩn đoán ban đầu hoặc đề xuất chẩn đoán của bệnh nhân
Foreign keys:
  Examination.ID = Patient.ID
  Laboratory.ID = Patient.ID</t>
        </is>
      </c>
      <c r="H33" s="10" t="inlineStr">
        <is>
          <t>SELECT T1.Birthday 
FROM Patient AS T1 
JOIN Examination AS T2 ON T1.ID = T2.ID 
JOIN Laboratory AS T3 ON T1.ID = T3.ID 
WHERE T3.GLU &gt; 180 
ORDER BY T1.Birthday ASC 
LIMIT 1;</t>
        </is>
      </c>
      <c r="I33" s="10" t="inlineStr">
        <is>
          <t>SELECT T1.Birthday FROM Patient AS T1 INNER JOIN Laboratory AS T2 ON T1.ID = T2.ID WHERE T2.GLU &gt; 180 ORDER BY T1.Birthday ASC LIMIT 1</t>
        </is>
      </c>
      <c r="J33" s="10" t="inlineStr">
        <is>
          <t>ok</t>
        </is>
      </c>
      <c r="K33" s="10" t="inlineStr">
        <is>
          <t>Chọn sai bảng</t>
        </is>
      </c>
      <c r="L33" s="11" t="n"/>
      <c r="M33" s="10">
        <f>IF(L33="","",IF(L33=K33,"Có","Không"))</f>
        <v/>
      </c>
      <c r="N33" s="11" t="n"/>
      <c r="O33" s="11" t="n"/>
      <c r="P33" s="11" t="n"/>
    </row>
    <row r="34" ht="150" customHeight="1">
      <c r="A34" s="10" t="n">
        <v>33</v>
      </c>
      <c r="B34" s="10" t="inlineStr">
        <is>
          <t>A</t>
        </is>
      </c>
      <c r="C34" s="10" t="inlineStr">
        <is>
          <t>ViBIRD</t>
        </is>
      </c>
      <c r="D34" s="10" t="inlineStr">
        <is>
          <t>Qwen2.5-Coder-7B / full</t>
        </is>
      </c>
      <c r="E34" s="10" t="inlineStr">
        <is>
          <t>Vui lòng liệt kê tên các sự kiện mà Maya Mclean đã tham gia.</t>
        </is>
      </c>
      <c r="F34" s="10" t="inlineStr">
        <is>
          <t>(no evidence)</t>
        </is>
      </c>
      <c r="G34"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34" s="10" t="inlineStr">
        <is>
          <t>SELECT e.event_name 
FROM event e 
JOIN attendance a ON e.event_id = a.link_to_event 
JOIN member m ON a.link_to_member = m.member_id 
WHERE m.member_id = 'rec28ORZgcm1dtqBZ';</t>
        </is>
      </c>
      <c r="I34" s="10" t="inlineStr">
        <is>
          <t>SELECT T1.event_name FROM event AS T1 INNER JOIN attendance AS T2 ON T1.event_id = T2.link_to_event INNER JOIN member AS T3 ON T2.link_to_member = T3.member_id WHERE T3.first_name = 'Maya' AND T3.last_name = 'Mclean'</t>
        </is>
      </c>
      <c r="J34" s="10" t="inlineStr">
        <is>
          <t>ok</t>
        </is>
      </c>
      <c r="K34" s="10" t="inlineStr">
        <is>
          <t>Sai cột</t>
        </is>
      </c>
      <c r="L34" s="11" t="n"/>
      <c r="M34" s="10">
        <f>IF(L34="","",IF(L34=K34,"Có","Không"))</f>
        <v/>
      </c>
      <c r="N34" s="11" t="n"/>
      <c r="O34" s="11" t="n"/>
      <c r="P34" s="11" t="n"/>
    </row>
    <row r="35" ht="150" customHeight="1">
      <c r="A35" s="10" t="n">
        <v>34</v>
      </c>
      <c r="B35" s="10" t="inlineStr">
        <is>
          <t>A</t>
        </is>
      </c>
      <c r="C35" s="10" t="inlineStr">
        <is>
          <t>ViBIRD</t>
        </is>
      </c>
      <c r="D35" s="10" t="inlineStr">
        <is>
          <t>Qwen2.5-Coder-7B / full</t>
        </is>
      </c>
      <c r="E35" s="10" t="inlineStr">
        <is>
          <t>Hãy liệt kê họ của tất cả các sinh viên đã chọn chuyên ngành Law and Constitutional Studies.</t>
        </is>
      </c>
      <c r="F35" s="10" t="inlineStr">
        <is>
          <t>'Law and Constitutional Studies' là tên chuyên ngành.</t>
        </is>
      </c>
      <c r="G35"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notes TEXT | alias: Ghi Chú, Ghi Chú, Ghi Chú Sự Kiện | values: All active members can vote for new officers between 4pm-8pm., Attend Women's soccer game as a group., Semester social event. Optional attendance. | -- Thông tin bổ sung về sự kiện.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member.zip = zip_code.zip_code
  member.link_to_major = major.major_id</t>
        </is>
      </c>
      <c r="H35" s="10" t="inlineStr">
        <is>
          <t>SELECT m.first_name 
FROM member m 
JOIN major j ON m.link_to_major = j.major_id 
WHERE j.major_name = 'Law and Constitutional Studies';</t>
        </is>
      </c>
      <c r="I35" s="10" t="inlineStr">
        <is>
          <t>SELECT T1.last_name FROM member AS T1 INNER JOIN major AS T2 ON T1.link_to_major = T2.major_id WHERE T2.major_name = 'Law and Constitutional Studies'</t>
        </is>
      </c>
      <c r="J35" s="10" t="inlineStr">
        <is>
          <t>ok</t>
        </is>
      </c>
      <c r="K35" s="10" t="inlineStr">
        <is>
          <t>Sai cột</t>
        </is>
      </c>
      <c r="L35" s="11" t="n"/>
      <c r="M35" s="10">
        <f>IF(L35="","",IF(L35=K35,"Có","Không"))</f>
        <v/>
      </c>
      <c r="N35" s="11" t="n"/>
      <c r="O35" s="11" t="n"/>
      <c r="P35" s="11" t="n"/>
    </row>
    <row r="36" ht="150" customHeight="1">
      <c r="A36" s="10" t="n">
        <v>35</v>
      </c>
      <c r="B36" s="10" t="inlineStr">
        <is>
          <t>A</t>
        </is>
      </c>
      <c r="C36" s="10" t="inlineStr">
        <is>
          <t>ViBIRD</t>
        </is>
      </c>
      <c r="D36" s="10" t="inlineStr">
        <is>
          <t>Qwen2.5-Coder-7B / full</t>
        </is>
      </c>
      <c r="E36" s="10" t="inlineStr">
        <is>
          <t>Tổng số tiền đã chi tiêu cho thực phẩm là bao nhiêu?</t>
        </is>
      </c>
      <c r="F36" s="10" t="inlineStr">
        <is>
          <t>tổng số tiền đã chi tiêu tham chiếu tới SUM(spent); chi tiêu cho thực phẩm tham chiếu tới category = 'Food'</t>
        </is>
      </c>
      <c r="G36" s="10" t="inlineStr">
        <is>
          <t>Table: budget (Bảng dự toán)
  - budget_id TEXT | alias: Mã dự toán, ID dự toán, Mã dự toán | values: rec0QmEc3cSQFQ6V2, rec1bG6HSft7XIvTP, rec1z6ISJU2HdIsVm | -- Mã duy nhất để xác định mỗi bản ghi trong bảng dự toán.
  - spent REAL | alias: Số tiền đã chi, Chi phí đã phát sinh, Số tiền đã sử dụng | values: 67.81, 121.14, 20.2 | -- Số tiền đã chi tiêu cho danh mục này.
  - amount INTEGER | alias: Số tiền dự toán, Số tiền dự kiến, Số tiền dự toán | values: 75, 150, 20 | -- Số tiền được dự kiến sẽ chi tiêu cho danh mục này.
  - link_to_event TEXT | alias: Liên kết sự kiện, Đường dẫn sự kiện, Liên kết tổ chức | values: recI43CzsZ0Q625ma, recggMW2eyCYceNcy, recJ4Witp9tpjaugn | -- Liên kết đến thông tin chi tiết về sự kiện liên quan đến dự toán này.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Foreign keys:
  budget.link_to_event = event.event_id
  expense.link_to_member = member.member_id
  expense.link_to_budget = budget.budget_id
  income.link_to_member = member.member_id</t>
        </is>
      </c>
      <c r="H36" s="10" t="inlineStr">
        <is>
          <t>SELECT SUM(cost) AS total_spent_on_food FROM expense WHERE expense_description LIKE '%Food%'</t>
        </is>
      </c>
      <c r="I36" s="10" t="inlineStr">
        <is>
          <t>SELECT SUM(spent) FROM budget WHERE category = 'Food'</t>
        </is>
      </c>
      <c r="J36" s="10" t="inlineStr">
        <is>
          <t>ok</t>
        </is>
      </c>
      <c r="K36" s="10" t="inlineStr">
        <is>
          <t>Chọn sai bảng</t>
        </is>
      </c>
      <c r="L36" s="11" t="n"/>
      <c r="M36" s="10">
        <f>IF(L36="","",IF(L36=K36,"Có","Không"))</f>
        <v/>
      </c>
      <c r="N36" s="11" t="n"/>
      <c r="O36" s="11" t="n"/>
      <c r="P36" s="11" t="n"/>
    </row>
    <row r="37" ht="150" customHeight="1">
      <c r="A37" s="10" t="n">
        <v>36</v>
      </c>
      <c r="B37" s="10" t="inlineStr">
        <is>
          <t>A</t>
        </is>
      </c>
      <c r="C37" s="10" t="inlineStr">
        <is>
          <t>ViBIRD</t>
        </is>
      </c>
      <c r="D37" s="10" t="inlineStr">
        <is>
          <t>Qwen2.5-Coder-7B / full</t>
        </is>
      </c>
      <c r="E37" s="10" t="inlineStr">
        <is>
          <t>Hãy liệt kê tên đầy đủ và tổng chi phí mà thành viên có mã ID "rec4BLdZHS2Blfp4v" đã chịu.</t>
        </is>
      </c>
      <c r="F37" s="10" t="inlineStr">
        <is>
          <t>tên đầy đủ tham chiếu tới first_name, last name</t>
        </is>
      </c>
      <c r="G37"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cost REAL | alias: Chi phí, Giá tiền, Số tiền | values: 122.06, 20.2, 51.81 | -- Số tiền đã chi tiêu cho mục này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7" s="10" t="inlineStr">
        <is>
          <t>SELECT m.first_name || ' ' || m.last_name AS full_name, SUM(e.cost) AS total_expense
FROM member m
JOIN expense e ON m.member_id = e.link_to_member
WHERE m.member_id = 'rec4BLdZHS2Blfp4v'
GROUP BY m.first_name, m.last_name;</t>
        </is>
      </c>
      <c r="I37" s="10" t="inlineStr">
        <is>
          <t>SELECT T1.first_name, T1.last_name, SUM(T2.cost) FROM member AS T1 INNER JOIN expense AS T2 ON T1.member_id = T2.link_to_member WHERE T1.member_id = 'rec4BLdZHS2Blfp4v'</t>
        </is>
      </c>
      <c r="J37" s="10" t="inlineStr">
        <is>
          <t>ok</t>
        </is>
      </c>
      <c r="K37" s="10" t="inlineStr">
        <is>
          <t>Sai hàm gộp hoặc GROUP BY</t>
        </is>
      </c>
      <c r="L37" s="11" t="n"/>
      <c r="M37" s="10">
        <f>IF(L37="","",IF(L37=K37,"Có","Không"))</f>
        <v/>
      </c>
      <c r="N37" s="11" t="n"/>
      <c r="O37" s="11" t="n"/>
      <c r="P37" s="11" t="n"/>
    </row>
    <row r="38" ht="150" customHeight="1">
      <c r="A38" s="10" t="n">
        <v>37</v>
      </c>
      <c r="B38" s="10" t="inlineStr">
        <is>
          <t>A</t>
        </is>
      </c>
      <c r="C38" s="10" t="inlineStr">
        <is>
          <t>ViBIRD</t>
        </is>
      </c>
      <c r="D38" s="10" t="inlineStr">
        <is>
          <t>Qwen2.5-Coder-7B / full</t>
        </is>
      </c>
      <c r="E38" s="10" t="inlineStr">
        <is>
          <t>Vui lòng liệt kê số điện thoại của các thành viên đã tốt nghiệp khoa Business tại College of Agriculture and Applied Sciences.</t>
        </is>
      </c>
      <c r="F38" s="10" t="inlineStr">
        <is>
          <t>'College of Agriculture and Applied Sciences' là trường đại học; tốt nghiệp khoa Business tương ứng với major_name = 'Business'; số điện thoại tương ứng với phone</t>
        </is>
      </c>
      <c r="G38"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t_shirt_size TEXT | alias: Kích cỡ áo thun, Kích cỡ, Size | values: Medium, X-Large, Large | -- Kích cỡ áo thun mà thành viên mặc.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income.link_to_member = member.member_id
  member.zip = zip_code.zip_code
  member.link_to_major = major.major_id</t>
        </is>
      </c>
      <c r="H38" s="10" t="inlineStr">
        <is>
          <t>SELECT m.phone 
FROM member m 
JOIN major ma ON m.link_to_major = ma.major_id 
WHERE ma.major_name = 'Business' AND m.zip IN (
    SELECT z.zip_code 
    FROM zip_code z 
    WHERE z.city = 'College of Agriculture and Applied Sciences'
);</t>
        </is>
      </c>
      <c r="I38" s="10" t="inlineStr">
        <is>
          <t>SELECT T1.phone FROM member AS T1 INNER JOIN major AS T2 ON T2.major_id = T1.link_to_major WHERE T2.major_name = 'Business' AND T2.college = 'College of Agriculture and Applied Sciences'</t>
        </is>
      </c>
      <c r="J38" s="10" t="inlineStr">
        <is>
          <t>ok</t>
        </is>
      </c>
      <c r="K38" s="10" t="inlineStr">
        <is>
          <t>Thiếu bảng cần thiết trong schema</t>
        </is>
      </c>
      <c r="L38" s="11" t="n"/>
      <c r="M38" s="10">
        <f>IF(L38="","",IF(L38=K38,"Có","Không"))</f>
        <v/>
      </c>
      <c r="N38" s="11" t="n"/>
      <c r="O38" s="11" t="n"/>
      <c r="P38" s="11" t="n"/>
    </row>
    <row r="39" ht="150" customHeight="1">
      <c r="A39" s="10" t="n">
        <v>38</v>
      </c>
      <c r="B39" s="10" t="inlineStr">
        <is>
          <t>A</t>
        </is>
      </c>
      <c r="C39" s="10" t="inlineStr">
        <is>
          <t>ViBIRD</t>
        </is>
      </c>
      <c r="D39" s="10" t="inlineStr">
        <is>
          <t>Qwen2.5-Coder-7B / full</t>
        </is>
      </c>
      <c r="E39" s="10" t="inlineStr">
        <is>
          <t>Liệt kê các email của những người đã trả hơn 20 đô la trong khoảng từ 9/10/2019 đến 11/19/2019.</t>
        </is>
      </c>
      <c r="F39" s="10" t="inlineStr">
        <is>
          <t>expense_date BETWEEN '2019-09-10' and '2019-11-19'; cost &gt; 20</t>
        </is>
      </c>
      <c r="G39" s="10" t="inlineStr">
        <is>
          <t>Table: event (Sự Kiện)
  - event_id TEXT | alias: Mã Sự Kiện, ID Sự Kiện, Số ID Sự Kiện | values: rec0Si5cQ4rJRVzd6, rec0akZnLLpGUloLH, rec0dZPcWXF0QjNnE | -- Mã duy nhất xác định mỗi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expense_description TEXT | alias: Mô tả chi tiêu, Miêu tả, Nội dung chi tiêu | values: Post Cards, Posters, Water, Cookies, Pizza | -- Mô tả ngắn gọn về mục chi tiêu cụ thể
  - expense_date TEXT | alias: Ngày chi tiêu, Ngày ghi chú, Ngày thực hiện | values: 2019-08-20, 2019-10-08, 2019-09-10 | -- Ngày khi xảy ra chi tiêu
  - cost REAL | alias: Chi phí, Giá tiền, Số tiền | values: 122.06, 20.2, 51.81 | -- Số tiền đã chi tiêu cho mục này
  - approved TEXT | alias: Được phê duyệt, Phê duyệt, Đồng ý | values: true | -- Trạng thái phê duyệt cho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income (Thu nhâp)
  - income_id TEXT | alias: Mã thu nhâp, ID thu nhâp, Mã ghi chép thu nhâp | values: rec0s9ZrO15zhzUeE, rec7f5XMQZexgtQJo, rec8BUJa8GXUjiglg | -- Mã duy nhất để xác định mỗi ghi chép thu nhâp.
  - amount INTEGER | alias: Số tiền, Tiền thu, Số tiền nhận | values: 50, 200, 3000 | -- Số tiền cụ thể của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expense.link_to_member = member.member_id
  expense.link_to_budget = budget.budget_id
  income.link_to_member = member.member_id
  member.zip = zip_code.zip_code
  member.link_to_major = major.major_id</t>
        </is>
      </c>
      <c r="H39" s="10" t="inlineStr">
        <is>
          <t>SELECT DISTINCT m.email 
FROM member m 
JOIN income i ON m.member_id = i.link_to_member 
WHERE i.amount &gt; 20 AND i.notes LIKE '%paid more than $20%';</t>
        </is>
      </c>
      <c r="I39" s="10" t="inlineStr">
        <is>
          <t>SELECT DISTINCT T1.email FROM member AS T1 INNER JOIN expense AS T2 ON T1.member_id = T2.link_to_member WHERE date(SUBSTR(T2.expense_date, 1, 10)) BETWEEN '2019-09-10' AND '2019-11-19' AND T2.cost &gt; 20</t>
        </is>
      </c>
      <c r="J39" s="10" t="inlineStr">
        <is>
          <t>ok</t>
        </is>
      </c>
      <c r="K39" s="10" t="inlineStr">
        <is>
          <t>Chọn sai bảng</t>
        </is>
      </c>
      <c r="L39" s="11" t="n"/>
      <c r="M39" s="10">
        <f>IF(L39="","",IF(L39=K39,"Có","Không"))</f>
        <v/>
      </c>
      <c r="N39" s="11" t="n"/>
      <c r="O39" s="11" t="n"/>
      <c r="P39" s="11" t="n"/>
    </row>
    <row r="40" ht="150" customHeight="1">
      <c r="A40" s="10" t="n">
        <v>39</v>
      </c>
      <c r="B40" s="10" t="inlineStr">
        <is>
          <t>A</t>
        </is>
      </c>
      <c r="C40" s="10" t="inlineStr">
        <is>
          <t>ViBIRD</t>
        </is>
      </c>
      <c r="D40" s="10" t="inlineStr">
        <is>
          <t>Qwen2.5-Coder-7B / full</t>
        </is>
      </c>
      <c r="E40" s="10" t="inlineStr">
        <is>
          <t>Sinh viên nào có quê hương ở Lincolnton, North Carolina với zip code 28092? Hãy liệt kê họ tên đầy đủ và vị trí của họ.</t>
        </is>
      </c>
      <c r="F40" s="10" t="inlineStr">
        <is>
          <t>tên đầy đủ tham chiếu tới first_name, last_name; quê hương ở Lincolnton, North Carolina tham chiếu tới city = 'Lincolnton' AND state = 'North Carolina'</t>
        </is>
      </c>
      <c r="G40"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income (Thu nhâp)
  - income_id TEXT | alias: Mã thu nhâp, ID thu nhâp, Mã ghi chép thu nhâp | values: rec0s9ZrO15zhzUeE, rec7f5XMQZexgtQJo, rec8BUJa8GXUjiglg | -- Mã duy nhất để xác định mỗi ghi chép thu nhâp.
  - notes TEXT | alias: Ghi chú, Lưu ý, Ghi chú thêm | values: Secured donations to help pay for speaker gifts., Annual funding from Student Government., Ad revenue for use on flyers used to advertise upcoming events. | -- Thông tin bổ sung về nguồn gốc hoặc chi tiết của thu nhập.
  - link_to_member TEXT | alias: Liên kết thành viên, ID thành viên liên kết, Liên kết với thành viên | values: reccW7q1KkhSKZsea, recTjHY5xXhvkCdVT, recUdRhbhcEO1Hk5r | -- Mã liên kết đến hồ sơ thành viên liên quan đến thu nhập này.
Table: major (Chuyên ngành học)
  - major_id TEXT | alias: Mã chuyên ngành, ID chuyên ngành, Mã khóa học | values: rec06DF6vZ1CyPKpc, rec09LedkREyskCNv, rec0Eanv576RhQllI | -- Mã duy nhất xác định mỗi chuyên ngành học.
  - major_name TEXT | alias: Tên chuyên ngành, Tên khóa học, Tên chuyên ngành học | values: Outdoor Product Design and Development, Agricultural Communication, Fisheries and Aquatic Sciences | -- Tên đầy đủ của mỗi chuyên ngành học.
Table: member (Thành viên)
  - member_id TEXT | alias: Mã thành viên, ID thành viên, Số thành viên | values: rec1x5zBFIqoOuPW8, rec280Sk7o31iG0Tx, rec28ORZgcm1dtqBZ | -- Mã duy nhất xác định mỗi thành viên.
  - first_name TEXT | alias: Họ, Tên đệm, Họ và tên | values: Angela, Grant, Luisa | -- Họ của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phone TEXT | alias: Số điện thoại, Điện thoại, Số liên lạc | values: (651) 928-4507, 403-555-1310, 442-555-5882 | -- Số điện thoại di động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Table: zip_code (Mã bưu chính)
  - zip_code INTEGER | alias: Mã bưu chính, Mã ZIP, Mã bưu điện | values: 501, 544, 601 | -- Mã số bưu chính duy nhất để xác định một địa điểm giao nhận thư.
  - city TEXT | alias: Thành phố, Thành thị, Khu vực thành phố | values: Holtsville, Adjuntas, Aguada | -- Tên của thành phố mà mã bưu chính này áp dụng.
Foreign keys:
  attendance.link_to_event = event.event_id
  attendance.link_to_member = member.member_id
  income.link_to_member = member.member_id
  member.zip = zip_code.zip_code
  member.link_to_major = major.major_id</t>
        </is>
      </c>
      <c r="H40" s="10" t="inlineStr">
        <is>
          <t>SELECT m.first_name, m.last_name, m.phone 
FROM member m 
JOIN zip_code z ON m.zip = z.zip_code 
WHERE z.city = 'Lincolnton' AND z.state = 'North Carolina' AND m.zip = 28092;</t>
        </is>
      </c>
      <c r="I40" s="10" t="inlineStr">
        <is>
          <t>SELECT T1.first_name, T1.last_name, T1.position FROM member AS T1 INNER JOIN zip_code AS T2 ON T2.zip_code = T1.zip WHERE T2.city = 'Lincolnton' AND T2.state = 'North Carolina' AND T2.zip_code = 28092</t>
        </is>
      </c>
      <c r="J40" s="10" t="inlineStr">
        <is>
          <t>ok</t>
        </is>
      </c>
      <c r="K40" s="10" t="inlineStr">
        <is>
          <t>Sai cột</t>
        </is>
      </c>
      <c r="L40" s="11" t="n"/>
      <c r="M40" s="10">
        <f>IF(L40="","",IF(L40=K40,"Có","Không"))</f>
        <v/>
      </c>
      <c r="N40" s="11" t="n"/>
      <c r="O40" s="11" t="n"/>
      <c r="P40" s="11" t="n"/>
    </row>
    <row r="41" ht="150" customHeight="1">
      <c r="A41" s="10" t="n">
        <v>40</v>
      </c>
      <c r="B41" s="10" t="inlineStr">
        <is>
          <t>A</t>
        </is>
      </c>
      <c r="C41" s="10" t="inlineStr">
        <is>
          <t>ViBIRD</t>
        </is>
      </c>
      <c r="D41" s="10" t="inlineStr">
        <is>
          <t>Qwen2.5-Coder-7B / full</t>
        </is>
      </c>
      <c r="E41" s="10" t="inlineStr">
        <is>
          <t>Loại tiền tệ mà khách hàng thanh toán vào lúc 16:25:00 vào ngày 2012/8/24 là gì?</t>
        </is>
      </c>
      <c r="F41" s="10" t="inlineStr">
        <is>
          <t>'2012/8/24' có thể được biểu diễn bằng '2012-08-24';</t>
        </is>
      </c>
      <c r="G41" s="10" t="inlineStr">
        <is>
          <t>Table: customers (Khách hàng)
  - CustomerID INTEGER | alias: Mã khách hàng, ID khách hàng, Số khách hàng | values: 3, 5, 6 | -- Mã duy nhất xác định mỗi khách hàng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CardID INTEGER | alias: Mã_thẻ, Mã thẻ tín dụng, Mã thẻ ghi nợ | values: 486621, 550134, 684220 | -- Mã thẻ được sử dụng trong giao dịch
  - GasStationID INTEGER | alias: Mã_phân_xưởng, Mã xăng dầu, Mã phân xưởng | values: 3704, 656, 741 | -- Mã phân xưởng nơi giao dịch được thực hiện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Foreign keys:
  yearmonth.CustomerID = customers.None</t>
        </is>
      </c>
      <c r="H41" s="10" t="inlineStr">
        <is>
          <t>SELECT c.Currency 
FROM customers c 
JOIN transactions_1k t ON c.CustomerID = t.CardID 
WHERE t.Date = '2012-08-24' AND t.Time = '16:25:00';</t>
        </is>
      </c>
      <c r="I41" s="10" t="inlineStr">
        <is>
          <t>SELECT DISTINCT T3.Currency FROM transactions_1k AS T1 INNER JOIN gasstations AS T2 ON T1.GasStationID = T2.GasStationID INNER JOIN customers AS T3 ON T1.CustomerID = T3.CustomerID WHERE T1.Date = '2012-08-24' AND T1.Time = '16:25:00'</t>
        </is>
      </c>
      <c r="J41" s="10" t="inlineStr">
        <is>
          <t>ok</t>
        </is>
      </c>
      <c r="K41" s="10" t="inlineStr">
        <is>
          <t>Thiếu bảng cần thiết trong schema</t>
        </is>
      </c>
      <c r="L41" s="11" t="n"/>
      <c r="M41" s="10">
        <f>IF(L41="","",IF(L41=K41,"Có","Không"))</f>
        <v/>
      </c>
      <c r="N41" s="11" t="n"/>
      <c r="O41" s="11" t="n"/>
      <c r="P41" s="11" t="n"/>
    </row>
    <row r="42" ht="150" customHeight="1">
      <c r="A42" s="10" t="n">
        <v>41</v>
      </c>
      <c r="B42" s="10" t="inlineStr">
        <is>
          <t>B</t>
        </is>
      </c>
      <c r="C42" s="10" t="inlineStr">
        <is>
          <t>ViSpider</t>
        </is>
      </c>
      <c r="D42" s="10" t="inlineStr">
        <is>
          <t>Qwen2.5-Coder-0.5B / baseline</t>
        </is>
      </c>
      <c r="E42" s="10" t="inlineStr">
        <is>
          <t>Có bao nhiêu chiếc xe có số xi-lanh lớn hơn 4?</t>
        </is>
      </c>
      <c r="F42" s="10" t="inlineStr"/>
      <c r="G42"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2" s="10" t="inlineStr">
        <is>
          <t>SELECT COUNT(*) FROM cars_data WHERE MPG &gt; 4;</t>
        </is>
      </c>
      <c r="I42" s="10" t="inlineStr">
        <is>
          <t>SELECT count(*) FROM CARS_DATA WHERE Cylinders  &gt;  4;</t>
        </is>
      </c>
      <c r="J42" s="10" t="inlineStr">
        <is>
          <t>ok</t>
        </is>
      </c>
      <c r="K42" s="10" t="inlineStr">
        <is>
          <t>Sai cột</t>
        </is>
      </c>
      <c r="L42" s="11" t="n"/>
      <c r="M42" s="10">
        <f>IF(L42="","",IF(L42=K42,"Có","Không"))</f>
        <v/>
      </c>
      <c r="N42" s="11" t="n"/>
      <c r="O42" s="11" t="n"/>
      <c r="P42" s="11" t="n"/>
    </row>
    <row r="43" ht="150" customHeight="1">
      <c r="A43" s="10" t="n">
        <v>42</v>
      </c>
      <c r="B43" s="10" t="inlineStr">
        <is>
          <t>B</t>
        </is>
      </c>
      <c r="C43" s="10" t="inlineStr">
        <is>
          <t>ViSpider</t>
        </is>
      </c>
      <c r="D43" s="10" t="inlineStr">
        <is>
          <t>Qwen2.5-Coder-0.5B / baseline</t>
        </is>
      </c>
      <c r="E43" s="10" t="inlineStr">
        <is>
          <t>Những năm nào đã sản xuất các xe có trọng lượng từ ít nhất 3000 đến nhiều nhất 4000?</t>
        </is>
      </c>
      <c r="F43" s="10" t="inlineStr"/>
      <c r="G43"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3" s="10" t="inlineStr">
        <is>
          <t>SELECT DISTINCT YEAR
FROM cars_data
WHERE Horsepower BETWEEN 3000 AND 4000;</t>
        </is>
      </c>
      <c r="I43" s="10" t="inlineStr">
        <is>
          <t>select distinct year from cars_data where weight between 3000 and 4000;</t>
        </is>
      </c>
      <c r="J43" s="10" t="inlineStr">
        <is>
          <t>ok</t>
        </is>
      </c>
      <c r="K43" s="10" t="inlineStr">
        <is>
          <t>Sai cột</t>
        </is>
      </c>
      <c r="L43" s="11" t="n"/>
      <c r="M43" s="10">
        <f>IF(L43="","",IF(L43=K43,"Có","Không"))</f>
        <v/>
      </c>
      <c r="N43" s="11" t="n"/>
      <c r="O43" s="11" t="n"/>
      <c r="P43" s="11" t="n"/>
    </row>
    <row r="44" ht="150" customHeight="1">
      <c r="A44" s="10" t="n">
        <v>43</v>
      </c>
      <c r="B44" s="10" t="inlineStr">
        <is>
          <t>B</t>
        </is>
      </c>
      <c r="C44" s="10" t="inlineStr">
        <is>
          <t>ViSpider</t>
        </is>
      </c>
      <c r="D44" s="10" t="inlineStr">
        <is>
          <t>Qwen2.5-Coder-0.5B / baseline</t>
        </is>
      </c>
      <c r="E44" s="10" t="inlineStr">
        <is>
          <t>Horsepower của chiếc xe có tốc độ tăng tốc cao nhất là bao nhiêu?</t>
        </is>
      </c>
      <c r="F44" s="10" t="inlineStr"/>
      <c r="G44"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4" s="10" t="inlineStr">
        <is>
          <t>SELECT MAX(Horsepower) FROM cars_data WHERE Accelerate &gt; 0;</t>
        </is>
      </c>
      <c r="I44" s="10" t="inlineStr">
        <is>
          <t>SELECT T1.horsepower FROM CARS_DATA AS T1 ORDER BY T1.accelerate DESC LIMIT 1;</t>
        </is>
      </c>
      <c r="J44" s="10" t="inlineStr">
        <is>
          <t>ok</t>
        </is>
      </c>
      <c r="K44" s="10" t="inlineStr">
        <is>
          <t>Sai hàm gộp hoặc GROUP BY</t>
        </is>
      </c>
      <c r="L44" s="11" t="n"/>
      <c r="M44" s="10">
        <f>IF(L44="","",IF(L44=K44,"Có","Không"))</f>
        <v/>
      </c>
      <c r="N44" s="11" t="n"/>
      <c r="O44" s="11" t="n"/>
      <c r="P44" s="11" t="n"/>
    </row>
    <row r="45" ht="150" customHeight="1">
      <c r="A45" s="10" t="n">
        <v>44</v>
      </c>
      <c r="B45" s="10" t="inlineStr">
        <is>
          <t>B</t>
        </is>
      </c>
      <c r="C45" s="10" t="inlineStr">
        <is>
          <t>ViSpider</t>
        </is>
      </c>
      <c r="D45" s="10" t="inlineStr">
        <is>
          <t>Qwen2.5-Coder-0.5B / baseline</t>
        </is>
      </c>
      <c r="E45" s="10" t="inlineStr">
        <is>
          <t>Horsepower của chiếc xe có tốc độ tăng tốc cao nhất là bao nhiêu?</t>
        </is>
      </c>
      <c r="F45" s="10" t="inlineStr"/>
      <c r="G45"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5" s="10" t="inlineStr">
        <is>
          <t>SELECT MAX(Horsepower) FROM cars_data WHERE Accelerate &gt; 0;</t>
        </is>
      </c>
      <c r="I45" s="10" t="inlineStr">
        <is>
          <t>SELECT T1.horsepower FROM CARS_DATA AS T1 ORDER BY T1.accelerate DESC LIMIT 1;</t>
        </is>
      </c>
      <c r="J45" s="10" t="inlineStr">
        <is>
          <t>ok</t>
        </is>
      </c>
      <c r="K45" s="10" t="inlineStr">
        <is>
          <t>Sai hàm gộp hoặc GROUP BY</t>
        </is>
      </c>
      <c r="L45" s="11" t="n"/>
      <c r="M45" s="10">
        <f>IF(L45="","",IF(L45=K45,"Có","Không"))</f>
        <v/>
      </c>
      <c r="N45" s="11" t="n"/>
      <c r="O45" s="11" t="n"/>
      <c r="P45" s="11" t="n"/>
    </row>
    <row r="46" ht="150" customHeight="1">
      <c r="A46" s="10" t="n">
        <v>45</v>
      </c>
      <c r="B46" s="10" t="inlineStr">
        <is>
          <t>B</t>
        </is>
      </c>
      <c r="C46" s="10" t="inlineStr">
        <is>
          <t>ViSpider</t>
        </is>
      </c>
      <c r="D46" s="10" t="inlineStr">
        <is>
          <t>Qwen2.5-Coder-0.5B / baseline</t>
        </is>
      </c>
      <c r="E46" s="10" t="inlineStr">
        <is>
          <t>Có bao nhiêu xe có hơn 6 xi lanh?</t>
        </is>
      </c>
      <c r="F46" s="10" t="inlineStr"/>
      <c r="G46" s="10" t="inlineStr">
        <is>
          <t>Table: car_makers
  - Id INTEGER
  - Maker TEXT
  - FullName TEXT
  - Country TEXT
Table: car_names
  - MakeId INTEGER
  - Model TEXT
  - Make TEXT
Table: cars_data
  - Id INTEGER
  - MPG TEXT
  - Cylinders INTEGER
  - Edispl REAL
  - Horsepower TEXT
  - Weight INTEGER
  - Accelerate REAL
  - Year INTEGER
Table: continents
  - ContId INTEGER
  - Continent TEXT
Table: countries
  - CountryId INTEGER
  - CountryName TEXT
  - Continent INTEGER
Table: model_list
  - ModelId INTEGER
  - Maker INTEGER
  - Model TEXT
Foreign keys:
  car_makers.Country = countries.CountryId
  car_names.Model = model_list.Model
  cars_data.Id = car_names.MakeId
  countries.Continent = continents.ContId
  model_list.Maker = car_makers.Id</t>
        </is>
      </c>
      <c r="H46" s="10" t="inlineStr">
        <is>
          <t>SELECT COUNT(*) FROM cars_data WHERE MPG &gt; 6</t>
        </is>
      </c>
      <c r="I46" s="10" t="inlineStr">
        <is>
          <t>SELECT COUNT(*) FROM CARS_DATA WHERE Cylinders  &gt;  6;</t>
        </is>
      </c>
      <c r="J46" s="10" t="inlineStr">
        <is>
          <t>ok</t>
        </is>
      </c>
      <c r="K46" s="10" t="inlineStr">
        <is>
          <t>Sai cột</t>
        </is>
      </c>
      <c r="L46" s="11" t="n"/>
      <c r="M46" s="10">
        <f>IF(L46="","",IF(L46=K46,"Có","Không"))</f>
        <v/>
      </c>
      <c r="N46" s="11" t="n"/>
      <c r="O46" s="11" t="n"/>
      <c r="P46" s="11" t="n"/>
    </row>
    <row r="47" ht="150" customHeight="1">
      <c r="A47" s="10" t="n">
        <v>46</v>
      </c>
      <c r="B47" s="10" t="inlineStr">
        <is>
          <t>B</t>
        </is>
      </c>
      <c r="C47" s="10" t="inlineStr">
        <is>
          <t>ViSpider</t>
        </is>
      </c>
      <c r="D47" s="10" t="inlineStr">
        <is>
          <t>Qwen2.5-Coder-0.5B / baseline</t>
        </is>
      </c>
      <c r="E47" s="10" t="inlineStr">
        <is>
          <t>Airline 'JetBlue Airways' có bao nhiêu chuyến bay?</t>
        </is>
      </c>
      <c r="F47" s="10" t="inlineStr"/>
      <c r="G47"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7" s="10" t="inlineStr">
        <is>
          <t>SELECT COUNT(*) FROM flights WHERE Airline = 'JetBlue Airways';</t>
        </is>
      </c>
      <c r="I47" s="10" t="inlineStr">
        <is>
          <t>SELECT count(*) FROM FLIGHTS AS T1 JOIN AIRLINES AS T2 ON T1.Airline  =  T2.uid WHERE T2.Airline = "JetBlue Airways"</t>
        </is>
      </c>
      <c r="J47" s="10" t="inlineStr">
        <is>
          <t>ok</t>
        </is>
      </c>
      <c r="K47" s="10" t="inlineStr">
        <is>
          <t>Chọn sai bảng</t>
        </is>
      </c>
      <c r="L47" s="11" t="n"/>
      <c r="M47" s="10">
        <f>IF(L47="","",IF(L47=K47,"Có","Không"))</f>
        <v/>
      </c>
      <c r="N47" s="11" t="n"/>
      <c r="O47" s="11" t="n"/>
      <c r="P47" s="11" t="n"/>
    </row>
    <row r="48" ht="150" customHeight="1">
      <c r="A48" s="10" t="n">
        <v>47</v>
      </c>
      <c r="B48" s="10" t="inlineStr">
        <is>
          <t>B</t>
        </is>
      </c>
      <c r="C48" s="10" t="inlineStr">
        <is>
          <t>ViSpider</t>
        </is>
      </c>
      <c r="D48" s="10" t="inlineStr">
        <is>
          <t>Qwen2.5-Coder-0.5B / baseline</t>
        </is>
      </c>
      <c r="E48" s="10" t="inlineStr">
        <is>
          <t>Những hãng hàng không nào có ít nhất 10 chuyến bay?</t>
        </is>
      </c>
      <c r="F48" s="10" t="inlineStr"/>
      <c r="G48"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8" s="10" t="inlineStr">
        <is>
          <t>SELECT DISTINCT T2.Airline FROM airlines AS T1 INNER JOIN flights AS T2 ON T1.uid = T2.Airline GROUP BY T1.Airline HAVING COUNT(T2.FlightNo) &lt; 10;</t>
        </is>
      </c>
      <c r="I48" s="10" t="inlineStr">
        <is>
          <t>SELECT T1.Airline FROM AIRLINES AS T1 JOIN FLIGHTS AS T2 ON T1.uid  =  T2.Airline GROUP BY T1.Airline HAVING count(*)  &gt;  10</t>
        </is>
      </c>
      <c r="J48" s="10" t="inlineStr">
        <is>
          <t>ok</t>
        </is>
      </c>
      <c r="K48" s="10" t="inlineStr">
        <is>
          <t>Sai cột</t>
        </is>
      </c>
      <c r="L48" s="11" t="n"/>
      <c r="M48" s="10">
        <f>IF(L48="","",IF(L48=K48,"Có","Không"))</f>
        <v/>
      </c>
      <c r="N48" s="11" t="n"/>
      <c r="O48" s="11" t="n"/>
      <c r="P48" s="11" t="n"/>
    </row>
    <row r="49" ht="150" customHeight="1">
      <c r="A49" s="10" t="n">
        <v>48</v>
      </c>
      <c r="B49" s="10" t="inlineStr">
        <is>
          <t>B</t>
        </is>
      </c>
      <c r="C49" s="10" t="inlineStr">
        <is>
          <t>ViSpider</t>
        </is>
      </c>
      <c r="D49" s="10" t="inlineStr">
        <is>
          <t>Qwen2.5-Coder-0.5B / baseline</t>
        </is>
      </c>
      <c r="E49" s="10" t="inlineStr">
        <is>
          <t>Các số hiệu chuyến bay của các chuyến bay khởi hành từ sân bay "APG" là gì?</t>
        </is>
      </c>
      <c r="F49" s="10" t="inlineStr"/>
      <c r="G49"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49" s="10" t="inlineStr">
        <is>
          <t>SELECT COUNT(*) FROM flights WHERE SourceAirport = 'APG'</t>
        </is>
      </c>
      <c r="I49" s="10" t="inlineStr">
        <is>
          <t>SELECT FlightNo FROM FLIGHTS WHERE SourceAirport  =  "APG"</t>
        </is>
      </c>
      <c r="J49" s="10" t="inlineStr">
        <is>
          <t>ok</t>
        </is>
      </c>
      <c r="K49" s="10" t="inlineStr">
        <is>
          <t>Sai cột</t>
        </is>
      </c>
      <c r="L49" s="11" t="n"/>
      <c r="M49" s="10">
        <f>IF(L49="","",IF(L49=K49,"Có","Không"))</f>
        <v/>
      </c>
      <c r="N49" s="11" t="n"/>
      <c r="O49" s="11" t="n"/>
      <c r="P49" s="11" t="n"/>
    </row>
    <row r="50" ht="150" customHeight="1">
      <c r="A50" s="10" t="n">
        <v>49</v>
      </c>
      <c r="B50" s="10" t="inlineStr">
        <is>
          <t>B</t>
        </is>
      </c>
      <c r="C50" s="10" t="inlineStr">
        <is>
          <t>ViSpider</t>
        </is>
      </c>
      <c r="D50" s="10" t="inlineStr">
        <is>
          <t>Qwen2.5-Coder-0.5B / baseline</t>
        </is>
      </c>
      <c r="E50" s="10" t="inlineStr">
        <is>
          <t>Các số hiệu chuyến bay của các chuyến bay đến sân bay "APG" là gì?</t>
        </is>
      </c>
      <c r="F50" s="10" t="inlineStr"/>
      <c r="G50"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0" s="10" t="inlineStr">
        <is>
          <t>SELECT COUNT(*) FROM flights WHERE SourceAirport = 'APG'</t>
        </is>
      </c>
      <c r="I50" s="10" t="inlineStr">
        <is>
          <t>SELECT FlightNo FROM FLIGHTS WHERE DestAirport  =  "APG"</t>
        </is>
      </c>
      <c r="J50" s="10" t="inlineStr">
        <is>
          <t>ok</t>
        </is>
      </c>
      <c r="K50" s="10" t="inlineStr">
        <is>
          <t>Sai cột</t>
        </is>
      </c>
      <c r="L50" s="11" t="n"/>
      <c r="M50" s="10">
        <f>IF(L50="","",IF(L50=K50,"Có","Không"))</f>
        <v/>
      </c>
      <c r="N50" s="11" t="n"/>
      <c r="O50" s="11" t="n"/>
      <c r="P50" s="11" t="n"/>
    </row>
    <row r="51" ht="150" customHeight="1">
      <c r="A51" s="10" t="n">
        <v>50</v>
      </c>
      <c r="B51" s="10" t="inlineStr">
        <is>
          <t>B</t>
        </is>
      </c>
      <c r="C51" s="10" t="inlineStr">
        <is>
          <t>ViSpider</t>
        </is>
      </c>
      <c r="D51" s="10" t="inlineStr">
        <is>
          <t>Qwen2.5-Coder-0.5B / baseline</t>
        </is>
      </c>
      <c r="E51" s="10" t="inlineStr">
        <is>
          <t>Các số hiệu chuyến bay của các chuyến bay khởi hành từ thành phố "Aberdeen" là gì?</t>
        </is>
      </c>
      <c r="F51" s="10" t="inlineStr"/>
      <c r="G51"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1" s="10" t="inlineStr">
        <is>
          <t>SELECT COUNT(*) FROM flights WHERE SourceAirport = 'Aberdeen'</t>
        </is>
      </c>
      <c r="I51" s="10" t="inlineStr">
        <is>
          <t>SELECT T1.FlightNo FROM FLIGHTS AS T1 JOIN AIRPORTS AS T2 ON T1.SourceAirport   =  T2.AirportCode WHERE T2.City  =  "Aberdeen"</t>
        </is>
      </c>
      <c r="J51" s="10" t="inlineStr">
        <is>
          <t>ok</t>
        </is>
      </c>
      <c r="K51" s="10" t="inlineStr">
        <is>
          <t>Chọn sai bảng</t>
        </is>
      </c>
      <c r="L51" s="11" t="n"/>
      <c r="M51" s="10">
        <f>IF(L51="","",IF(L51=K51,"Có","Không"))</f>
        <v/>
      </c>
      <c r="N51" s="11" t="n"/>
      <c r="O51" s="11" t="n"/>
      <c r="P51" s="11" t="n"/>
    </row>
    <row r="52" ht="150" customHeight="1">
      <c r="A52" s="10" t="n">
        <v>51</v>
      </c>
      <c r="B52" s="10" t="inlineStr">
        <is>
          <t>B</t>
        </is>
      </c>
      <c r="C52" s="10" t="inlineStr">
        <is>
          <t>ViSpider</t>
        </is>
      </c>
      <c r="D52" s="10" t="inlineStr">
        <is>
          <t>Qwen2.5-Coder-0.5B / baseline</t>
        </is>
      </c>
      <c r="E52" s="10" t="inlineStr">
        <is>
          <t>Hãy cho biết các số hiệu chuyến bay khởi hành từ Aberdeen.</t>
        </is>
      </c>
      <c r="F52" s="10" t="inlineStr"/>
      <c r="G52"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2" s="10" t="inlineStr">
        <is>
          <t>SELECT COUNT(*) FROM flights WHERE SourceAirport = 'Aberdeen'</t>
        </is>
      </c>
      <c r="I52" s="10" t="inlineStr">
        <is>
          <t>SELECT T1.FlightNo FROM FLIGHTS AS T1 JOIN AIRPORTS AS T2 ON T1.SourceAirport   =  T2.AirportCode WHERE T2.City  =  "Aberdeen"</t>
        </is>
      </c>
      <c r="J52" s="10" t="inlineStr">
        <is>
          <t>ok</t>
        </is>
      </c>
      <c r="K52" s="10" t="inlineStr">
        <is>
          <t>Chọn sai bảng</t>
        </is>
      </c>
      <c r="L52" s="11" t="n"/>
      <c r="M52" s="10">
        <f>IF(L52="","",IF(L52=K52,"Có","Không"))</f>
        <v/>
      </c>
      <c r="N52" s="11" t="n"/>
      <c r="O52" s="11" t="n"/>
      <c r="P52" s="11" t="n"/>
    </row>
    <row r="53" ht="150" customHeight="1">
      <c r="A53" s="10" t="n">
        <v>52</v>
      </c>
      <c r="B53" s="10" t="inlineStr">
        <is>
          <t>B</t>
        </is>
      </c>
      <c r="C53" s="10" t="inlineStr">
        <is>
          <t>ViSpider</t>
        </is>
      </c>
      <c r="D53" s="10" t="inlineStr">
        <is>
          <t>Qwen2.5-Coder-0.5B / baseline</t>
        </is>
      </c>
      <c r="E53" s="10" t="inlineStr">
        <is>
          <t>Các số hiệu chuyến bay của các chuyến bay đến thành phố "Aberdeen" là gì?</t>
        </is>
      </c>
      <c r="F53" s="10" t="inlineStr"/>
      <c r="G53"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3" s="10" t="inlineStr">
        <is>
          <t>SELECT COUNT(*) FROM flights WHERE DestAirport = 'Aberdeen'</t>
        </is>
      </c>
      <c r="I53" s="10" t="inlineStr">
        <is>
          <t>SELECT T1.FlightNo FROM FLIGHTS AS T1 JOIN AIRPORTS AS T2 ON T1.DestAirport   =  T2.AirportCode WHERE T2.City  =  "Aberdeen"</t>
        </is>
      </c>
      <c r="J53" s="10" t="inlineStr">
        <is>
          <t>ok</t>
        </is>
      </c>
      <c r="K53" s="10" t="inlineStr">
        <is>
          <t>Chọn sai bảng</t>
        </is>
      </c>
      <c r="L53" s="11" t="n"/>
      <c r="M53" s="10">
        <f>IF(L53="","",IF(L53=K53,"Có","Không"))</f>
        <v/>
      </c>
      <c r="N53" s="11" t="n"/>
      <c r="O53" s="11" t="n"/>
      <c r="P53" s="11" t="n"/>
    </row>
    <row r="54" ht="150" customHeight="1">
      <c r="A54" s="10" t="n">
        <v>53</v>
      </c>
      <c r="B54" s="10" t="inlineStr">
        <is>
          <t>B</t>
        </is>
      </c>
      <c r="C54" s="10" t="inlineStr">
        <is>
          <t>ViSpider</t>
        </is>
      </c>
      <c r="D54" s="10" t="inlineStr">
        <is>
          <t>Qwen2.5-Coder-0.5B / baseline</t>
        </is>
      </c>
      <c r="E54" s="10" t="inlineStr">
        <is>
          <t>Hãy cho biết các số hiệu chuyến bay đến Aberdeen.</t>
        </is>
      </c>
      <c r="F54" s="10" t="inlineStr"/>
      <c r="G54" s="10" t="inlineStr">
        <is>
          <t>Table: airlines
  - uid INTEGER
  - Airline TEXT
  - Abbreviation TEXT
  - Country TEXT
Table: airports
  - City TEXT
  - AirportCode TEXT
  - AirportName TEXT
  - Country TEXT
  - CountryAbbrev TEXT
Table: flights
  - Airline INTEGER
  - FlightNo INTEGER
  - SourceAirport TEXT
  - DestAirport TEXT
Foreign keys:
  flights.SourceAirport = airports.AirportCode
  flights.DestAirport = airports.AirportCode</t>
        </is>
      </c>
      <c r="H54" s="10" t="inlineStr">
        <is>
          <t>SELECT COUNT(*) FROM flights WHERE DestAirport = 'Aberdeen';</t>
        </is>
      </c>
      <c r="I54" s="10" t="inlineStr">
        <is>
          <t>SELECT T1.FlightNo FROM FLIGHTS AS T1 JOIN AIRPORTS AS T2 ON T1.DestAirport   =  T2.AirportCode WHERE T2.City  =  "Aberdeen"</t>
        </is>
      </c>
      <c r="J54" s="10" t="inlineStr">
        <is>
          <t>ok</t>
        </is>
      </c>
      <c r="K54" s="10" t="inlineStr">
        <is>
          <t>Chọn sai bảng</t>
        </is>
      </c>
      <c r="L54" s="11" t="n"/>
      <c r="M54" s="10">
        <f>IF(L54="","",IF(L54=K54,"Có","Không"))</f>
        <v/>
      </c>
      <c r="N54" s="11" t="n"/>
      <c r="O54" s="11" t="n"/>
      <c r="P54" s="11" t="n"/>
    </row>
    <row r="55" ht="150" customHeight="1">
      <c r="A55" s="10" t="n">
        <v>54</v>
      </c>
      <c r="B55" s="10" t="inlineStr">
        <is>
          <t>B</t>
        </is>
      </c>
      <c r="C55" s="10" t="inlineStr">
        <is>
          <t>ViSpider</t>
        </is>
      </c>
      <c r="D55" s="10" t="inlineStr">
        <is>
          <t>Qwen2.5-Coder-0.5B / baseline</t>
        </is>
      </c>
      <c r="E55" s="10" t="inlineStr">
        <is>
          <t>Liệt kê tên của các nhân viên và sắp xếp theo tuổi tăng dần.</t>
        </is>
      </c>
      <c r="F55" s="10" t="inlineStr"/>
      <c r="G55"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5" s="10" t="inlineStr">
        <is>
          <t>SELECT e.Name FROM employee e JOIN evaluation ev ON e.Employee_ID = ev.Employee_ID JOIN hiring h ON ev.Employee_ID = h.Employee_ID JOIN shop s ON h.Shop_ID = s.Shop_ID ORDER BY e.Age ASC;</t>
        </is>
      </c>
      <c r="I55" s="10" t="inlineStr">
        <is>
          <t>SELECT name FROM employee ORDER BY age</t>
        </is>
      </c>
      <c r="J55" s="10" t="inlineStr">
        <is>
          <t>ok</t>
        </is>
      </c>
      <c r="K55" s="10" t="inlineStr">
        <is>
          <t>Chọn sai bảng</t>
        </is>
      </c>
      <c r="L55" s="11" t="n"/>
      <c r="M55" s="10">
        <f>IF(L55="","",IF(L55=K55,"Có","Không"))</f>
        <v/>
      </c>
      <c r="N55" s="11" t="n"/>
      <c r="O55" s="11" t="n"/>
      <c r="P55" s="11" t="n"/>
    </row>
    <row r="56" ht="150" customHeight="1">
      <c r="A56" s="10" t="n">
        <v>55</v>
      </c>
      <c r="B56" s="10" t="inlineStr">
        <is>
          <t>B</t>
        </is>
      </c>
      <c r="C56" s="10" t="inlineStr">
        <is>
          <t>ViSpider</t>
        </is>
      </c>
      <c r="D56" s="10" t="inlineStr">
        <is>
          <t>Qwen2.5-Coder-0.5B / baseline</t>
        </is>
      </c>
      <c r="E56" s="10" t="inlineStr">
        <is>
          <t>Số lượng sản phẩm tối thiểu và tối đa trên tất cả các shop là bao nhiêu?</t>
        </is>
      </c>
      <c r="F56" s="10" t="inlineStr"/>
      <c r="G56"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6" s="10" t="inlineStr">
        <is>
          <t>SELECT COUNT(*) AS min_products, COUNT(*) AS max_products
FROM shop;</t>
        </is>
      </c>
      <c r="I56" s="10" t="inlineStr">
        <is>
          <t>SELECT min(Number_products) ,  max(Number_products) FROM shop</t>
        </is>
      </c>
      <c r="J56" s="10" t="inlineStr">
        <is>
          <t>ok</t>
        </is>
      </c>
      <c r="K56" s="10" t="inlineStr">
        <is>
          <t>Sai cột</t>
        </is>
      </c>
      <c r="L56" s="11" t="n"/>
      <c r="M56" s="10">
        <f>IF(L56="","",IF(L56=K56,"Có","Không"))</f>
        <v/>
      </c>
      <c r="N56" s="11" t="n"/>
      <c r="O56" s="11" t="n"/>
      <c r="P56" s="11" t="n"/>
    </row>
    <row r="57" ht="150" customHeight="1">
      <c r="A57" s="10" t="n">
        <v>56</v>
      </c>
      <c r="B57" s="10" t="inlineStr">
        <is>
          <t>B</t>
        </is>
      </c>
      <c r="C57" s="10" t="inlineStr">
        <is>
          <t>ViSpider</t>
        </is>
      </c>
      <c r="D57" s="10" t="inlineStr">
        <is>
          <t>Qwen2.5-Coder-0.5B / baseline</t>
        </is>
      </c>
      <c r="E57" s="10" t="inlineStr">
        <is>
          <t>Tìm tên của các cửa hàng có số lượng sản phẩm lớn hơn mức trung bình.</t>
        </is>
      </c>
      <c r="F57" s="10" t="inlineStr"/>
      <c r="G57"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7" s="10" t="inlineStr">
        <is>
          <t>SELECT DISTINCT s.Name FROM shop s JOIN hiring h ON s.Shop_ID = h.Shop_ID JOIN evaluation e ON h.Employee_ID = e.Employee_ID WHERE s.Number_products &gt; (SELECT AVG(e.Bonus) FROM evaluation e)</t>
        </is>
      </c>
      <c r="I57" s="10" t="inlineStr">
        <is>
          <t>SELECT name FROM shop WHERE number_products  &gt;  (SELECT avg(number_products) FROM shop)</t>
        </is>
      </c>
      <c r="J57" s="10" t="inlineStr">
        <is>
          <t>ok</t>
        </is>
      </c>
      <c r="K57" s="10" t="inlineStr">
        <is>
          <t>Chọn sai bảng</t>
        </is>
      </c>
      <c r="L57" s="11" t="n"/>
      <c r="M57" s="10">
        <f>IF(L57="","",IF(L57=K57,"Có","Không"))</f>
        <v/>
      </c>
      <c r="N57" s="11" t="n"/>
      <c r="O57" s="11" t="n"/>
      <c r="P57" s="11" t="n"/>
    </row>
    <row r="58" ht="150" customHeight="1">
      <c r="A58" s="10" t="n">
        <v>57</v>
      </c>
      <c r="B58" s="10" t="inlineStr">
        <is>
          <t>B</t>
        </is>
      </c>
      <c r="C58" s="10" t="inlineStr">
        <is>
          <t>ViSpider</t>
        </is>
      </c>
      <c r="D58" s="10" t="inlineStr">
        <is>
          <t>Qwen2.5-Coder-0.5B / baseline</t>
        </is>
      </c>
      <c r="E58" s="10" t="inlineStr">
        <is>
          <t>Tìm tên của nhân viên đã được nhận giải thưởng nhiều nhất trong evaluation.</t>
        </is>
      </c>
      <c r="F58" s="10" t="inlineStr"/>
      <c r="G58"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8" s="10" t="inlineStr">
        <is>
          <t>SELECT e.Name
FROM employee e
JOIN evaluation ev ON e.Employee_ID = ev.Employee_ID
WHERE ev.Year_awarded = (SELECT MAX(Year_awarded) FROM evaluation)
GROUP BY e.Employee_ID
ORDER BY COUNT(*) DESC
LIMIT 1;</t>
        </is>
      </c>
      <c r="I58" s="10" t="inlineStr">
        <is>
          <t>SELECT t1.name FROM employee AS t1 JOIN evaluation AS t2 ON t1.Employee_ID  =  t2.Employee_ID GROUP BY t2.Employee_ID ORDER BY count(*) DESC LIMIT 1</t>
        </is>
      </c>
      <c r="J58" s="10" t="inlineStr">
        <is>
          <t>ok</t>
        </is>
      </c>
      <c r="K58" s="10" t="inlineStr">
        <is>
          <t>Sai cột</t>
        </is>
      </c>
      <c r="L58" s="11" t="n"/>
      <c r="M58" s="10">
        <f>IF(L58="","",IF(L58=K58,"Có","Không"))</f>
        <v/>
      </c>
      <c r="N58" s="11" t="n"/>
      <c r="O58" s="11" t="n"/>
      <c r="P58" s="11" t="n"/>
    </row>
    <row r="59" ht="150" customHeight="1">
      <c r="A59" s="10" t="n">
        <v>58</v>
      </c>
      <c r="B59" s="10" t="inlineStr">
        <is>
          <t>B</t>
        </is>
      </c>
      <c r="C59" s="10" t="inlineStr">
        <is>
          <t>ViSpider</t>
        </is>
      </c>
      <c r="D59" s="10" t="inlineStr">
        <is>
          <t>Qwen2.5-Coder-0.5B / baseline</t>
        </is>
      </c>
      <c r="E59" s="10" t="inlineStr">
        <is>
          <t>Tìm tên của những nhân viên chưa từng giành được bất kỳ giải thưởng nào trong evaluation.</t>
        </is>
      </c>
      <c r="F59" s="10" t="inlineStr"/>
      <c r="G59"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59" s="10" t="inlineStr">
        <is>
          <t>SELECT e.Name FROM employee e
WHERE e.Employee_ID NOT IN (
    SELECT e2.Employee_ID FROM evaluation e2
    JOIN hiring h ON e2.Employee_ID = h.Employee_ID
)</t>
        </is>
      </c>
      <c r="I59" s="10" t="inlineStr">
        <is>
          <t>SELECT name FROM employee WHERE Employee_ID NOT IN (SELECT Employee_ID FROM evaluation)</t>
        </is>
      </c>
      <c r="J59" s="10" t="inlineStr">
        <is>
          <t>ok</t>
        </is>
      </c>
      <c r="K59" s="10" t="inlineStr">
        <is>
          <t>Chọn sai bảng</t>
        </is>
      </c>
      <c r="L59" s="11" t="n"/>
      <c r="M59" s="10">
        <f>IF(L59="","",IF(L59=K59,"Có","Không"))</f>
        <v/>
      </c>
      <c r="N59" s="11" t="n"/>
      <c r="O59" s="11" t="n"/>
      <c r="P59" s="11" t="n"/>
    </row>
    <row r="60" ht="150" customHeight="1">
      <c r="A60" s="10" t="n">
        <v>59</v>
      </c>
      <c r="B60" s="10" t="inlineStr">
        <is>
          <t>B</t>
        </is>
      </c>
      <c r="C60" s="10" t="inlineStr">
        <is>
          <t>ViSpider</t>
        </is>
      </c>
      <c r="D60" s="10" t="inlineStr">
        <is>
          <t>Qwen2.5-Coder-0.5B / baseline</t>
        </is>
      </c>
      <c r="E60" s="10" t="inlineStr">
        <is>
          <t>Tổng số tiền bonus được trao trong tất cả các lượt đánh giá là bao nhiêu?</t>
        </is>
      </c>
      <c r="F60" s="10" t="inlineStr"/>
      <c r="G60"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0" s="10" t="inlineStr">
        <is>
          <t>SELECT SUM(e.Bonus) FROM evaluation e
JOIN hiring h ON e.Employee_ID = h.Employee_ID
JOIN shop s ON h.Shop_ID = s.Shop_ID;</t>
        </is>
      </c>
      <c r="I60" s="10" t="inlineStr">
        <is>
          <t>SELECT sum(bonus) FROM evaluation</t>
        </is>
      </c>
      <c r="J60" s="10" t="inlineStr">
        <is>
          <t>ok</t>
        </is>
      </c>
      <c r="K60" s="10" t="inlineStr">
        <is>
          <t>Chọn sai bảng</t>
        </is>
      </c>
      <c r="L60" s="11" t="n"/>
      <c r="M60" s="10">
        <f>IF(L60="","",IF(L60=K60,"Có","Không"))</f>
        <v/>
      </c>
      <c r="N60" s="11" t="n"/>
      <c r="O60" s="11" t="n"/>
      <c r="P60" s="11" t="n"/>
    </row>
    <row r="61" ht="150" customHeight="1">
      <c r="A61" s="10" t="n">
        <v>60</v>
      </c>
      <c r="B61" s="10" t="inlineStr">
        <is>
          <t>B</t>
        </is>
      </c>
      <c r="C61" s="10" t="inlineStr">
        <is>
          <t>ViSpider</t>
        </is>
      </c>
      <c r="D61" s="10" t="inlineStr">
        <is>
          <t>Qwen2.5-Coder-0.5B / baseline</t>
        </is>
      </c>
      <c r="E61" s="10" t="inlineStr">
        <is>
          <t>Có bao nhiêu địa điểm cửa hàng khác nhau?</t>
        </is>
      </c>
      <c r="F61" s="10" t="inlineStr"/>
      <c r="G61"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1" s="10" t="inlineStr">
        <is>
          <t>SELECT COUNT(DISTINCT shop.Name) FROM shop
JOIN hiring ON shop.Shop_ID = hiring.Shop_ID
JOIN employee ON hiring.Employee_ID = employee.Employee_ID
WHERE hiring.Is_full_time = FALSE;</t>
        </is>
      </c>
      <c r="I61" s="10" t="inlineStr">
        <is>
          <t>SELECT count(DISTINCT LOCATION) FROM shop</t>
        </is>
      </c>
      <c r="J61" s="10" t="inlineStr">
        <is>
          <t>ok</t>
        </is>
      </c>
      <c r="K61" s="10" t="inlineStr">
        <is>
          <t>Chọn sai bảng</t>
        </is>
      </c>
      <c r="L61" s="11" t="n"/>
      <c r="M61" s="10">
        <f>IF(L61="","",IF(L61=K61,"Có","Không"))</f>
        <v/>
      </c>
      <c r="N61" s="11" t="n"/>
      <c r="O61" s="11" t="n"/>
      <c r="P61" s="11" t="n"/>
    </row>
    <row r="62" ht="150" customHeight="1">
      <c r="A62" s="10" t="n">
        <v>61</v>
      </c>
      <c r="B62" s="10" t="inlineStr">
        <is>
          <t>B</t>
        </is>
      </c>
      <c r="C62" s="10" t="inlineStr">
        <is>
          <t>ViSpider</t>
        </is>
      </c>
      <c r="D62" s="10" t="inlineStr">
        <is>
          <t>Qwen2.5-Coder-0.5B / baseline</t>
        </is>
      </c>
      <c r="E62" s="10" t="inlineStr">
        <is>
          <t>Đếm số lượng địa điểm cửa hàng khác nhau.</t>
        </is>
      </c>
      <c r="F62" s="10" t="inlineStr"/>
      <c r="G62" s="10" t="inlineStr">
        <is>
          <t>Table: employee
  - Employee_ID INT
  - Name TEXT
  - Age INT
  - City TEXT
Table: evaluation
  - Employee_ID TEXT
  - Year_awarded TEXT
  - Bonus REAL
Table: hiring
  - Shop_ID INT
  - Employee_ID INT
  - Start_from TEXT
  - Is_full_time bool
Table: shop
  - Shop_ID INT
  - Name TEXT
  - Location TEXT
  - District TEXT
  - Number_products INT
  - Manager_name TEXT
Foreign keys:
  evaluation.Employee_ID = employee.Employee_ID
  hiring.Shop_ID = shop.Shop_ID
  hiring.Employee_ID = employee.Employee_ID</t>
        </is>
      </c>
      <c r="H62" s="10" t="inlineStr">
        <is>
          <t>SELECT COUNT(DISTINCT shop.District) FROM shop
LEFT JOIN hiring ON shop.Shop_ID = hiring.Shop_ID
LEFT JOIN evaluation ON hiring.Employee_ID = evaluation.Employee_ID
WHERE hiring.Is_full_time = FALSE;</t>
        </is>
      </c>
      <c r="I62" s="10" t="inlineStr">
        <is>
          <t>SELECT count(DISTINCT LOCATION) FROM shop</t>
        </is>
      </c>
      <c r="J62" s="10" t="inlineStr">
        <is>
          <t>ok</t>
        </is>
      </c>
      <c r="K62" s="10" t="inlineStr">
        <is>
          <t>Chọn sai bảng</t>
        </is>
      </c>
      <c r="L62" s="11" t="n"/>
      <c r="M62" s="10">
        <f>IF(L62="","",IF(L62=K62,"Có","Không"))</f>
        <v/>
      </c>
      <c r="N62" s="11" t="n"/>
      <c r="O62" s="11" t="n"/>
      <c r="P62" s="11" t="n"/>
    </row>
    <row r="63" ht="150" customHeight="1">
      <c r="A63" s="10" t="n">
        <v>62</v>
      </c>
      <c r="B63" s="10" t="inlineStr">
        <is>
          <t>B</t>
        </is>
      </c>
      <c r="C63" s="10" t="inlineStr">
        <is>
          <t>ViSpider</t>
        </is>
      </c>
      <c r="D63" s="10" t="inlineStr">
        <is>
          <t>Qwen2.5-Coder-0.5B / baseline</t>
        </is>
      </c>
      <c r="E63" s="10" t="inlineStr">
        <is>
          <t>Hiển thị tất cả các mã loại mẫu có ít hơn ba mẫu.</t>
        </is>
      </c>
      <c r="F63" s="10" t="inlineStr"/>
      <c r="G63" s="10"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3" s="10" t="inlineStr">
        <is>
          <t>SELECT T2.Template_Type_Code FROM Templates AS T1 INNER JOIN Ref_Template_Types AS T2 ON T1.Template_Type_Code = T2.Template_Type_Code WHERE T1.Version_Number &lt; 3;</t>
        </is>
      </c>
      <c r="I63" s="10" t="inlineStr">
        <is>
          <t>SELECT template_type_code FROM Templates GROUP BY template_type_code HAVING count(*)  &lt;  3</t>
        </is>
      </c>
      <c r="J63" s="10" t="inlineStr">
        <is>
          <t>ok</t>
        </is>
      </c>
      <c r="K63" s="10" t="inlineStr">
        <is>
          <t>Chọn sai bảng</t>
        </is>
      </c>
      <c r="L63" s="11" t="n"/>
      <c r="M63" s="10">
        <f>IF(L63="","",IF(L63=K63,"Có","Không"))</f>
        <v/>
      </c>
      <c r="N63" s="11" t="n"/>
      <c r="O63" s="11" t="n"/>
      <c r="P63" s="11" t="n"/>
    </row>
    <row r="64" ht="150" customHeight="1">
      <c r="A64" s="10" t="n">
        <v>63</v>
      </c>
      <c r="B64" s="10" t="inlineStr">
        <is>
          <t>B</t>
        </is>
      </c>
      <c r="C64" s="10" t="inlineStr">
        <is>
          <t>ViSpider</t>
        </is>
      </c>
      <c r="D64" s="10" t="inlineStr">
        <is>
          <t>Qwen2.5-Coder-0.5B / baseline</t>
        </is>
      </c>
      <c r="E64" s="10" t="inlineStr">
        <is>
          <t>Các id của các documents nào chứa cả đoạn văn bản 'Brazil' và 'Ireland'?</t>
        </is>
      </c>
      <c r="F64" s="10" t="inlineStr"/>
      <c r="G64" s="10" t="inlineStr">
        <is>
          <t>Table: Documents
  - Document_ID INTEGER
  - Template_ID INTEGER
  - Document_Name VARCHAR(255)
  - Document_Description VARCHAR(255)
  - Other_Details VARCHAR(255)
Table: Paragraphs
  - Paragraph_ID INTEGER
  - Document_ID INTEGER
  - Paragraph_Text VARCHAR(255)
  - Other_Details VARCHAR(255)
Table: Ref_Template_Types
  - Template_Type_Code CHAR(15)
  - Template_Type_Description VARCHAR(255)
Table: Templates
  - Template_ID INTEGER
  - Version_Number INTEGER
  - Template_Type_Code CHAR(15)
  - Date_Effective_From DATETIME
  - Date_Effective_To DATETIME
  - Template_Details VARCHAR(255)
Foreign keys:
  Documents.Template_ID = Templates.Template_ID
  Paragraphs.Document_ID = Documents.Document_ID
  Templates.Template_Type_Code = Ref_Template_Types.Template_Type_Code</t>
        </is>
      </c>
      <c r="H64" s="10" t="inlineStr">
        <is>
          <t>SELECT Documents.Document_ID
FROM Documents
JOIN Paragraphs ON Documents.Document_ID = Paragraphs.Document_ID
JOIN Templates ON Documents.Template_ID = Templates.Template_ID
WHERE Templates.Template_Details LIKE '%Brazil%' OR Templates.Template_Details LIKE '%Ireland%';</t>
        </is>
      </c>
      <c r="I64" s="10" t="inlineStr">
        <is>
          <t>SELECT document_id FROM Paragraphs WHERE paragraph_text  =  'Brazil' INTERSECT SELECT document_id FROM Paragraphs WHERE paragraph_text  =  'Ireland'</t>
        </is>
      </c>
      <c r="J64" s="10" t="inlineStr">
        <is>
          <t>ok</t>
        </is>
      </c>
      <c r="K64" s="10" t="inlineStr">
        <is>
          <t>Chọn sai bảng</t>
        </is>
      </c>
      <c r="L64" s="11" t="n"/>
      <c r="M64" s="10">
        <f>IF(L64="","",IF(L64=K64,"Có","Không"))</f>
        <v/>
      </c>
      <c r="N64" s="11" t="n"/>
      <c r="O64" s="11" t="n"/>
      <c r="P64" s="11" t="n"/>
    </row>
    <row r="65" ht="150" customHeight="1">
      <c r="A65" s="10" t="n">
        <v>64</v>
      </c>
      <c r="B65" s="10" t="inlineStr">
        <is>
          <t>B</t>
        </is>
      </c>
      <c r="C65" s="10" t="inlineStr">
        <is>
          <t>ViSpider</t>
        </is>
      </c>
      <c r="D65" s="10" t="inlineStr">
        <is>
          <t>Qwen2.5-Coder-0.5B / baseline</t>
        </is>
      </c>
      <c r="E65" s="10" t="inlineStr">
        <is>
          <t>Tìm tuổi trung bình của các người thua và người thắng trong tất cả các trận đấu.</t>
        </is>
      </c>
      <c r="F65" s="10" t="inlineStr"/>
      <c r="G65" s="10"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5" s="10" t="inlineStr">
        <is>
          <t>SELECT AVG(winner_age) AS average_winner_age, AVG(loser_age) AS average_loser_age
FROM matches;</t>
        </is>
      </c>
      <c r="I65" s="10" t="inlineStr">
        <is>
          <t>SELECT avg(loser_age) ,  avg(winner_age) FROM matches</t>
        </is>
      </c>
      <c r="J65" s="10" t="inlineStr">
        <is>
          <t>ok</t>
        </is>
      </c>
      <c r="K65" s="10" t="inlineStr">
        <is>
          <t>Khác</t>
        </is>
      </c>
      <c r="L65" s="11" t="n"/>
      <c r="M65" s="10">
        <f>IF(L65="","",IF(L65=K65,"Có","Không"))</f>
        <v/>
      </c>
      <c r="N65" s="11" t="n"/>
      <c r="O65" s="11" t="n"/>
      <c r="P65" s="11" t="n"/>
    </row>
    <row r="66" ht="150" customHeight="1">
      <c r="A66" s="10" t="n">
        <v>65</v>
      </c>
      <c r="B66" s="10" t="inlineStr">
        <is>
          <t>B</t>
        </is>
      </c>
      <c r="C66" s="10" t="inlineStr">
        <is>
          <t>ViSpider</t>
        </is>
      </c>
      <c r="D66" s="10" t="inlineStr">
        <is>
          <t>Qwen2.5-Coder-0.5B / baseline</t>
        </is>
      </c>
      <c r="E66" s="10" t="inlineStr">
        <is>
          <t>Tuổi trung bình của các người thua và người thắng trong các trận đấu là bao nhiêu?</t>
        </is>
      </c>
      <c r="F66" s="10" t="inlineStr"/>
      <c r="G66" s="10" t="inlineStr">
        <is>
          <t>Table: matches
  - best_of INT
  - draw_size INT
  - loser_age FLOAT
  - loser_entry TEXT
  - loser_hand TEXT
  - loser_ht INT
  - loser_id INT
  - loser_ioc TEXT
  - loser_name TEXT
  - loser_rank INT
  - loser_rank_points INT
  - loser_seed INT
  - match_num INT
  - minutes INT
  - round TEXT
  - score TEXT
  - surface TEXT
  - tourney_date DATE
  - tourney_id TEXT
  - tourney_level TEXT
  - tourney_name TEXT
  - winner_age FLOAT
  - winner_entry TEXT
  - winner_hand TEXT
  - winner_ht INT
  - winner_id INT
  - winner_ioc TEXT
  - winner_name TEXT
  - winner_rank INT
  - winner_rank_points INT
  - winner_seed INT
  - year INT
Table: players
  - player_id INT
  - first_name TEXT
  - last_name TEXT
  - hand TEXT
  - birth_date DATE
  - country_code TEXT
Table: rankings
  - ranking_date DATE
  - ranking INT
  - player_id INT
  - ranking_points INT
  - tours INT
Foreign keys:
  matches.loser_id = players.player_id
  matches.winner_id = players.player_id
  rankings.player_id = players.player_id</t>
        </is>
      </c>
      <c r="H66" s="10" t="inlineStr">
        <is>
          <t>SELECT AVG(winner_age) AS average_winner_age, AVG(loser_age) AS average_loser_age
FROM matches;</t>
        </is>
      </c>
      <c r="I66" s="10" t="inlineStr">
        <is>
          <t>SELECT avg(loser_age) ,  avg(winner_age) FROM matches</t>
        </is>
      </c>
      <c r="J66" s="10" t="inlineStr">
        <is>
          <t>ok</t>
        </is>
      </c>
      <c r="K66" s="10" t="inlineStr">
        <is>
          <t>Khác</t>
        </is>
      </c>
      <c r="L66" s="11" t="n"/>
      <c r="M66" s="10">
        <f>IF(L66="","",IF(L66=K66,"Có","Không"))</f>
        <v/>
      </c>
      <c r="N66" s="11" t="n"/>
      <c r="O66" s="11" t="n"/>
      <c r="P66" s="11" t="n"/>
    </row>
    <row r="67" ht="150" customHeight="1">
      <c r="A67" s="10" t="n">
        <v>66</v>
      </c>
      <c r="B67" s="10" t="inlineStr">
        <is>
          <t>B</t>
        </is>
      </c>
      <c r="C67" s="10" t="inlineStr">
        <is>
          <t>ViSpider</t>
        </is>
      </c>
      <c r="D67" s="10" t="inlineStr">
        <is>
          <t>Qwen2.5-Coder-0.5B / baseline</t>
        </is>
      </c>
      <c r="E67" s="10" t="inlineStr">
        <is>
          <t>Có bao nhiêu tàu đã kết thúc với trạng thái 'Captured'?</t>
        </is>
      </c>
      <c r="F67" s="10" t="inlineStr"/>
      <c r="G67" s="10"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7" s="10" t="inlineStr">
        <is>
          <t>SELECT COUNT(*) FROM battle WHERE result = 'Captured'</t>
        </is>
      </c>
      <c r="I67" s="10" t="inlineStr">
        <is>
          <t>SELECT count(*) FROM ship WHERE disposition_of_ship  =  'Captured'</t>
        </is>
      </c>
      <c r="J67" s="10" t="inlineStr">
        <is>
          <t>ok</t>
        </is>
      </c>
      <c r="K67" s="10" t="inlineStr">
        <is>
          <t>Chọn sai bảng</t>
        </is>
      </c>
      <c r="L67" s="11" t="n"/>
      <c r="M67" s="10">
        <f>IF(L67="","",IF(L67=K67,"Có","Không"))</f>
        <v/>
      </c>
      <c r="N67" s="11" t="n"/>
      <c r="O67" s="11" t="n"/>
      <c r="P67" s="11" t="n"/>
    </row>
    <row r="68" ht="150" customHeight="1">
      <c r="A68" s="10" t="n">
        <v>67</v>
      </c>
      <c r="B68" s="10" t="inlineStr">
        <is>
          <t>B</t>
        </is>
      </c>
      <c r="C68" s="10" t="inlineStr">
        <is>
          <t>ViSpider</t>
        </is>
      </c>
      <c r="D68" s="10" t="inlineStr">
        <is>
          <t>Qwen2.5-Coder-0.5B / baseline</t>
        </is>
      </c>
      <c r="E68" s="10" t="inlineStr">
        <is>
          <t>Các id và tên khác nhau của các trận chiến đã mất bất kỳ tàu loại 'Brig' nào?</t>
        </is>
      </c>
      <c r="F68" s="10" t="inlineStr"/>
      <c r="G68" s="10" t="inlineStr">
        <is>
          <t>Table: battle
  - id INT
  - name TEXT
  - date TEXT
  - bulgarian_commander TEXT
  - latin_commander TEXT
  - result TEXT
Table: death
  - caused_by_ship_id INT
  - id INT
  - note TEXT
  - killed INT
  - injured INT
Table: ship
  - lost_in_battle INT
  - id INT
  - name TEXT
  - tonnage TEXT
  - ship_type TEXT
  - location TEXT
  - disposition_of_ship TEXT
Foreign keys:
  death.caused_by_ship_id = ship.id
  ship.lost_in_battle = battle.id</t>
        </is>
      </c>
      <c r="H68" s="10" t="inlineStr">
        <is>
          <t>SELECT DISTINCT T1.id, T1.name FROM battle AS T1 INNER JOIN death AS T2 ON T1.id = T2.caused_by_ship_id INNER JOIN ship AS T3 ON T2.caused_by_ship_id = T3.id WHERE T3.ship_type = 'Brig'</t>
        </is>
      </c>
      <c r="I68" s="10" t="inlineStr">
        <is>
          <t>SELECT DISTINCT T1.id ,  T1.name FROM battle AS T1 JOIN ship AS T2 ON T1.id  =  T2.lost_in_battle WHERE T2.ship_type  =  'Brig'</t>
        </is>
      </c>
      <c r="J68" s="10" t="inlineStr">
        <is>
          <t>ok</t>
        </is>
      </c>
      <c r="K68" s="10" t="inlineStr">
        <is>
          <t>Chọn sai bảng</t>
        </is>
      </c>
      <c r="L68" s="11" t="n"/>
      <c r="M68" s="10">
        <f>IF(L68="","",IF(L68=K68,"Có","Không"))</f>
        <v/>
      </c>
      <c r="N68" s="11" t="n"/>
      <c r="O68" s="11" t="n"/>
      <c r="P68" s="11" t="n"/>
    </row>
    <row r="69" ht="150" customHeight="1">
      <c r="A69" s="10" t="n">
        <v>68</v>
      </c>
      <c r="B69" s="10" t="inlineStr">
        <is>
          <t>B</t>
        </is>
      </c>
      <c r="C69" s="10" t="inlineStr">
        <is>
          <t>ViSpider</t>
        </is>
      </c>
      <c r="D69" s="10" t="inlineStr">
        <is>
          <t>Qwen2.5-Coder-0.5B / baseline</t>
        </is>
      </c>
      <c r="E69" s="10" t="inlineStr">
        <is>
          <t>Liệt kê từng ngôn ngữ và số lượng kênh truyền hình sử dụng nó.</t>
        </is>
      </c>
      <c r="F69" s="10" t="inlineStr"/>
      <c r="G69" s="10" t="inlineStr">
        <is>
          <t>Table: Cartoon
  - id REAL
  - Title TEXT
  - Directed_by TEXT
  - Written_by TEXT
  - Original_air_date TEXT
  - Production_code REAL
  - Channel TEXT
Table: TV_Channel
  - id TEXT
  - series_name TEXT
  - Country TEXT
  - Language TEXT
  - Content TEXT
  - Pixel_aspect_ratio_PAR TEXT
  - Hight_definition_TV TEXT
  - Pay_per_view_PPV TEXT
  - Package_Option TEXT
Table: TV_series
  - id REAL
  - Episode TEXT
  - Air_Date TEXT
  - Rating TEXT
  - Share REAL
  - 18_49_Rating_Share TEXT
  - Viewers_m TEXT
  - Weekly_Rank REAL
  - Channel TEXT
Foreign keys:
  Cartoon.Channel = TV_Channel.id
  TV_series.Channel = TV_Channel.id</t>
        </is>
      </c>
      <c r="H69" s="10" t="inlineStr">
        <is>
          <t>SELECT T2.Language, COUNT(T1.id) AS Total_Views
FROM Cartoon AS T1
JOIN TV_Channel AS T2 ON T1.Channel = T2.id
GROUP BY T2.Language;</t>
        </is>
      </c>
      <c r="I69" s="10" t="inlineStr">
        <is>
          <t>SELECT LANGUAGE ,  count(*) FROM TV_Channel GROUP BY LANGUAGE</t>
        </is>
      </c>
      <c r="J69" s="10" t="inlineStr">
        <is>
          <t>ok</t>
        </is>
      </c>
      <c r="K69" s="10" t="inlineStr">
        <is>
          <t>Chọn sai bảng</t>
        </is>
      </c>
      <c r="L69" s="11" t="n"/>
      <c r="M69" s="10">
        <f>IF(L69="","",IF(L69=K69,"Có","Không"))</f>
        <v/>
      </c>
      <c r="N69" s="11" t="n"/>
      <c r="O69" s="11" t="n"/>
      <c r="P69" s="11" t="n"/>
    </row>
    <row r="70" ht="150" customHeight="1">
      <c r="A70" s="10" t="n">
        <v>69</v>
      </c>
      <c r="B70" s="10" t="inlineStr">
        <is>
          <t>B</t>
        </is>
      </c>
      <c r="C70" s="10" t="inlineStr">
        <is>
          <t>ViSpider</t>
        </is>
      </c>
      <c r="D70" s="10" t="inlineStr">
        <is>
          <t>Qwen2.5-Coder-0.5B / baseline</t>
        </is>
      </c>
      <c r="E70" s="10" t="inlineStr">
        <is>
          <t>Trung bình số tiền kiếm được của các tay chơi poker là bao nhiêu?</t>
        </is>
      </c>
      <c r="F70" s="10" t="inlineStr"/>
      <c r="G70"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0" s="10" t="inlineStr">
        <is>
          <t>SELECT AVG(Earnings) FROM poker_player WHERE People_ID IN (SELECT People_ID FROM people WHERE Nationality = 'Trung bình')</t>
        </is>
      </c>
      <c r="I70" s="10" t="inlineStr">
        <is>
          <t>SELECT avg(Earnings) FROM poker_player</t>
        </is>
      </c>
      <c r="J70" s="10" t="inlineStr">
        <is>
          <t>ok</t>
        </is>
      </c>
      <c r="K70" s="10" t="inlineStr">
        <is>
          <t>Chọn sai bảng</t>
        </is>
      </c>
      <c r="L70" s="11" t="n"/>
      <c r="M70" s="10">
        <f>IF(L70="","",IF(L70=K70,"Có","Không"))</f>
        <v/>
      </c>
      <c r="N70" s="11" t="n"/>
      <c r="O70" s="11" t="n"/>
      <c r="P70" s="11" t="n"/>
    </row>
    <row r="71" ht="150" customHeight="1">
      <c r="A71" s="10" t="n">
        <v>70</v>
      </c>
      <c r="B71" s="10" t="inlineStr">
        <is>
          <t>B</t>
        </is>
      </c>
      <c r="C71" s="10" t="inlineStr">
        <is>
          <t>ViSpider</t>
        </is>
      </c>
      <c r="D71" s="10" t="inlineStr">
        <is>
          <t>Qwen2.5-Coder-0.5B / baseline</t>
        </is>
      </c>
      <c r="E71" s="10" t="inlineStr">
        <is>
          <t>Hạng tiền thưởng (Money_Rank) của người chơi poker cao nhất (tallest) là gì?</t>
        </is>
      </c>
      <c r="F71" s="10" t="inlineStr"/>
      <c r="G71"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1" s="10" t="inlineStr">
        <is>
          <t>SELECT Money_Rank FROM poker_player ORDER BY Money_Rank DESC LIMIT 1</t>
        </is>
      </c>
      <c r="I71" s="10" t="inlineStr">
        <is>
          <t>SELECT T2.Money_Rank FROM people AS T1 JOIN poker_player AS T2 ON T1.People_ID  =  T2.People_ID ORDER BY T1.Height DESC LIMIT 1</t>
        </is>
      </c>
      <c r="J71" s="10" t="inlineStr">
        <is>
          <t>ok</t>
        </is>
      </c>
      <c r="K71" s="10" t="inlineStr">
        <is>
          <t>Chọn sai bảng</t>
        </is>
      </c>
      <c r="L71" s="11" t="n"/>
      <c r="M71" s="10">
        <f>IF(L71="","",IF(L71=K71,"Có","Không"))</f>
        <v/>
      </c>
      <c r="N71" s="11" t="n"/>
      <c r="O71" s="11" t="n"/>
      <c r="P71" s="11" t="n"/>
    </row>
    <row r="72" ht="150" customHeight="1">
      <c r="A72" s="10" t="n">
        <v>71</v>
      </c>
      <c r="B72" s="10" t="inlineStr">
        <is>
          <t>B</t>
        </is>
      </c>
      <c r="C72" s="10" t="inlineStr">
        <is>
          <t>ViSpider</t>
        </is>
      </c>
      <c r="D72" s="10" t="inlineStr">
        <is>
          <t>Qwen2.5-Coder-0.5B / baseline</t>
        </is>
      </c>
      <c r="E72" s="10" t="inlineStr">
        <is>
          <t>Tên và ngày sinh của các người, được sắp xếp theo thứ tự bảng chữ cái của tên.</t>
        </is>
      </c>
      <c r="F72" s="10" t="inlineStr"/>
      <c r="G72" s="10" t="inlineStr">
        <is>
          <t>Table: people
  - People_ID INT
  - Nationality TEXT
  - Name TEXT
  - Birth_Date TEXT
  - Height REAL
Table: poker_player
  - Poker_Player_ID INT
  - People_ID INT
  - Final_Table_Made REAL
  - Best_Finish REAL
  - Money_Rank REAL
  - Earnings REAL
Foreign keys:
  poker_player.People_ID = people.People_ID</t>
        </is>
      </c>
      <c r="H72" s="10" t="inlineStr">
        <is>
          <t>SELECT T1.Name, T1.Birth_Date FROM people AS T1 JOIN poker_player AS T2 ON T1.People_ID = T2.People_ID ORDER BY T1.Name ASC;</t>
        </is>
      </c>
      <c r="I72" s="10" t="inlineStr">
        <is>
          <t>SELECT Name ,  Birth_Date FROM people ORDER BY Name ASC</t>
        </is>
      </c>
      <c r="J72" s="10" t="inlineStr">
        <is>
          <t>ok</t>
        </is>
      </c>
      <c r="K72" s="10" t="inlineStr">
        <is>
          <t>Chọn sai bảng</t>
        </is>
      </c>
      <c r="L72" s="11" t="n"/>
      <c r="M72" s="10">
        <f>IF(L72="","",IF(L72=K72,"Có","Không"))</f>
        <v/>
      </c>
      <c r="N72" s="11" t="n"/>
      <c r="O72" s="11" t="n"/>
      <c r="P72" s="11" t="n"/>
    </row>
    <row r="73" ht="150" customHeight="1">
      <c r="A73" s="10" t="n">
        <v>72</v>
      </c>
      <c r="B73" s="10" t="inlineStr">
        <is>
          <t>B</t>
        </is>
      </c>
      <c r="C73" s="10" t="inlineStr">
        <is>
          <t>ViSpider</t>
        </is>
      </c>
      <c r="D73" s="10" t="inlineStr">
        <is>
          <t>Qwen2.5-Coder-0.5B / baseline</t>
        </is>
      </c>
      <c r="E73" s="10" t="inlineStr">
        <is>
          <t>Diện tích mặt đất tổng thể của các quốc gia thuộc khu vực Caribbean là bao nhiêu?</t>
        </is>
      </c>
      <c r="F73" s="10" t="inlineStr"/>
      <c r="G73" s="10" t="inlineStr">
        <is>
          <t>Table: city
  - ID INTEGER
  - Name char(35)
  - CountryCode char(3)
  - District char(20)
  - Population INTEGER
Table: country
  - Code char(3)
  - Name char(52)
  - Continent TEXT
  - Region char(26)
  - SurfaceArea float(10,2)
  - IndepYear INTEGER
  - Population INTEGER
  - LifeExpectancy float(3,1)
  - GNP float(10,2)
  - GNPOld float(10,2)
  - LocalName char(45)
  - GovernmentForm char(45)
  - HeadOfState char(60)
  - Capital INTEGER
  - Code2 char(2)
Table: countrylanguage
  - CountryCode char(3)
  - Language char(30)
  - IsOfficial TEXT
  - Percentage float(4,1)
Foreign keys:
  city.CountryCode = country.Code
  countrylanguage.CountryCode = country.Code</t>
        </is>
      </c>
      <c r="H73" s="10" t="inlineStr">
        <is>
          <t>SELECT SUM(T2.SurfaceArea) FROM city AS T1 INNER JOIN country AS T2 ON T1.CountryCode = T2.Code WHERE T2.Continent = 'Caribbean'</t>
        </is>
      </c>
      <c r="I73" s="10" t="inlineStr">
        <is>
          <t>SELECT sum(SurfaceArea) FROM country WHERE Region  =  "Caribbean"</t>
        </is>
      </c>
      <c r="J73" s="10" t="inlineStr">
        <is>
          <t>ok</t>
        </is>
      </c>
      <c r="K73" s="10" t="inlineStr">
        <is>
          <t>Chọn sai bảng</t>
        </is>
      </c>
      <c r="L73" s="11" t="n"/>
      <c r="M73" s="10">
        <f>IF(L73="","",IF(L73=K73,"Có","Không"))</f>
        <v/>
      </c>
      <c r="N73" s="11" t="n"/>
      <c r="O73" s="11" t="n"/>
      <c r="P73" s="11" t="n"/>
    </row>
    <row r="74" ht="150" customHeight="1">
      <c r="A74" s="10" t="n">
        <v>73</v>
      </c>
      <c r="B74" s="10" t="inlineStr">
        <is>
          <t>B</t>
        </is>
      </c>
      <c r="C74" s="10" t="inlineStr">
        <is>
          <t>ViSpider</t>
        </is>
      </c>
      <c r="D74" s="10" t="inlineStr">
        <is>
          <t>Qwen2.5-Coder-0.5B / baseline</t>
        </is>
      </c>
      <c r="E74" s="10" t="inlineStr">
        <is>
          <t>Công ty ghi âm nào được sử dụng bởi nhiều乐团（orchestra）最多的是哪家录音公司？</t>
        </is>
      </c>
      <c r="F74" s="10" t="inlineStr"/>
      <c r="G74" s="10" t="inlineStr">
        <is>
          <t>Table: conductor
  - Conductor_ID INT
  - Name TEXT
  - Age INT
  - Nationality TEXT
  - Year_of_Work INT
Table: orchestra
  - Orchestra_ID INT
  - Orchestra TEXT
  - Conductor_ID INT
  - Record_Company TEXT
  - Year_of_Founded REAL
  - Major_Record_Format TEXT
Table: performance
  - Performance_ID INT
  - Orchestra_ID INT
  - Type TEXT
  - Date TEXT
  - Official_ratings_(millions) REAL
  - Weekly_rank TEXT
  - Share TEXT
Table: show
  - Show_ID INT
  - Performance_ID INT
  - If_first_show bool
  - Result TEXT
  - Attendance REAL
Foreign keys:
  orchestra.Conductor_ID = conductor.Conductor_ID
  performance.Orchestra_ID = orchestra.Orchestra_ID
  show.Performance_ID = performance.Performance_ID</t>
        </is>
      </c>
      <c r="H74" s="10" t="inlineStr">
        <is>
          <t>SELECT Orchestra, COUNT(*) AS Orchestra_Count
FROM orchestra
GROUP BY Orchestra
ORDER BY Orchestra_Count DESC
LIMIT 1;</t>
        </is>
      </c>
      <c r="I74" s="10" t="inlineStr">
        <is>
          <t>SELECT Record_Company FROM orchestra GROUP BY Record_Company ORDER BY COUNT(*) DESC LIMIT 1</t>
        </is>
      </c>
      <c r="J74" s="10" t="inlineStr">
        <is>
          <t>ok</t>
        </is>
      </c>
      <c r="K74" s="10" t="inlineStr">
        <is>
          <t>Sai cột</t>
        </is>
      </c>
      <c r="L74" s="11" t="n"/>
      <c r="M74" s="10">
        <f>IF(L74="","",IF(L74=K74,"Có","Không"))</f>
        <v/>
      </c>
      <c r="N74" s="11" t="n"/>
      <c r="O74" s="11" t="n"/>
      <c r="P74" s="11" t="n"/>
    </row>
    <row r="75" ht="150" customHeight="1">
      <c r="A75" s="10" t="n">
        <v>74</v>
      </c>
      <c r="B75" s="10" t="inlineStr">
        <is>
          <t>B</t>
        </is>
      </c>
      <c r="C75" s="10" t="inlineStr">
        <is>
          <t>ViSpider</t>
        </is>
      </c>
      <c r="D75" s="10" t="inlineStr">
        <is>
          <t>Qwen2.5-Coder-0.5B / baseline</t>
        </is>
      </c>
      <c r="E75" s="10" t="inlineStr">
        <is>
          <t>Có bao nhiêu học sinh trung học?</t>
        </is>
      </c>
      <c r="F75" s="10" t="inlineStr"/>
      <c r="G75"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5" s="10" t="inlineStr">
        <is>
          <t>SELECT COUNT(DISTINCT T1.student_id) FROM Friend AS T1 JOIN Likes AS T2 ON T1.student_id = T2.student_id JOIN Highschooler AS T3 ON T2.liked_id = T3.ID</t>
        </is>
      </c>
      <c r="I75" s="10" t="inlineStr">
        <is>
          <t>SELECT count(*) FROM Highschooler</t>
        </is>
      </c>
      <c r="J75" s="10" t="inlineStr">
        <is>
          <t>ok</t>
        </is>
      </c>
      <c r="K75" s="10" t="inlineStr">
        <is>
          <t>Chọn sai bảng</t>
        </is>
      </c>
      <c r="L75" s="11" t="n"/>
      <c r="M75" s="10">
        <f>IF(L75="","",IF(L75=K75,"Có","Không"))</f>
        <v/>
      </c>
      <c r="N75" s="11" t="n"/>
      <c r="O75" s="11" t="n"/>
      <c r="P75" s="11" t="n"/>
    </row>
    <row r="76" ht="150" customHeight="1">
      <c r="A76" s="10" t="n">
        <v>75</v>
      </c>
      <c r="B76" s="10" t="inlineStr">
        <is>
          <t>B</t>
        </is>
      </c>
      <c r="C76" s="10" t="inlineStr">
        <is>
          <t>ViSpider</t>
        </is>
      </c>
      <c r="D76" s="10" t="inlineStr">
        <is>
          <t>Qwen2.5-Coder-0.5B / baseline</t>
        </is>
      </c>
      <c r="E76" s="10" t="inlineStr">
        <is>
          <t>Đếm số lượng học sinh.</t>
        </is>
      </c>
      <c r="F76" s="10" t="inlineStr"/>
      <c r="G76"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6" s="10" t="inlineStr">
        <is>
          <t>SELECT COUNT(*) FROM Friend;</t>
        </is>
      </c>
      <c r="I76" s="10" t="inlineStr">
        <is>
          <t>SELECT count(*) FROM Highschooler</t>
        </is>
      </c>
      <c r="J76" s="10" t="inlineStr">
        <is>
          <t>ok</t>
        </is>
      </c>
      <c r="K76" s="10" t="inlineStr">
        <is>
          <t>Chọn sai bảng</t>
        </is>
      </c>
      <c r="L76" s="11" t="n"/>
      <c r="M76" s="10">
        <f>IF(L76="","",IF(L76=K76,"Có","Không"))</f>
        <v/>
      </c>
      <c r="N76" s="11" t="n"/>
      <c r="O76" s="11" t="n"/>
      <c r="P76" s="11" t="n"/>
    </row>
    <row r="77" ht="150" customHeight="1">
      <c r="A77" s="10" t="n">
        <v>76</v>
      </c>
      <c r="B77" s="10" t="inlineStr">
        <is>
          <t>B</t>
        </is>
      </c>
      <c r="C77" s="10" t="inlineStr">
        <is>
          <t>ViSpider</t>
        </is>
      </c>
      <c r="D77" s="10" t="inlineStr">
        <is>
          <t>Qwen2.5-Coder-0.5B / baseline</t>
        </is>
      </c>
      <c r="E77" s="10" t="inlineStr">
        <is>
          <t>Đếm số lượng học sinh ở lớp 9 hoặc lớp 10.</t>
        </is>
      </c>
      <c r="F77" s="10" t="inlineStr"/>
      <c r="G77" s="10" t="inlineStr">
        <is>
          <t>Table: Friend
  - student_id INT
  - friend_id INT
Table: Highschooler
  - ID INT
  - name TEXT
  - grade INT
Table: Likes
  - student_id INT
  - liked_id INT
Foreign keys:
  Friend.student_id = Highschooler.ID
  Friend.friend_id = Highschooler.ID
  Likes.student_id = Highschooler.ID
  Likes.liked_id = Highschooler.ID</t>
        </is>
      </c>
      <c r="H77" s="10" t="inlineStr">
        <is>
          <t>SELECT COUNT(DISTINCT H.ID) FROM Friend AS F JOIN Likes AS L ON F.student_id = L.student_id JOIN Highschooler AS H ON L.liked_id = H.ID WHERE H.grade IN (9, 10);</t>
        </is>
      </c>
      <c r="I77" s="10" t="inlineStr">
        <is>
          <t>SELECT count(*) FROM Highschooler WHERE grade  =  9 OR grade  =  10</t>
        </is>
      </c>
      <c r="J77" s="10" t="inlineStr">
        <is>
          <t>ok</t>
        </is>
      </c>
      <c r="K77" s="10" t="inlineStr">
        <is>
          <t>Chọn sai bảng</t>
        </is>
      </c>
      <c r="L77" s="11" t="n"/>
      <c r="M77" s="10">
        <f>IF(L77="","",IF(L77=K77,"Có","Không"))</f>
        <v/>
      </c>
      <c r="N77" s="11" t="n"/>
      <c r="O77" s="11" t="n"/>
      <c r="P77" s="11" t="n"/>
    </row>
    <row r="78" ht="150" customHeight="1">
      <c r="A78" s="10" t="n">
        <v>77</v>
      </c>
      <c r="B78" s="10" t="inlineStr">
        <is>
          <t>B</t>
        </is>
      </c>
      <c r="C78" s="10" t="inlineStr">
        <is>
          <t>ViSpider</t>
        </is>
      </c>
      <c r="D78" s="10" t="inlineStr">
        <is>
          <t>Qwen2.5-Coder-0.5B / baseline</t>
        </is>
      </c>
      <c r="E78" s="10" t="inlineStr">
        <is>
          <t>Có bao nhiêu chủ không có bất kỳ con chó nào trong thời gian tạm thời?</t>
        </is>
      </c>
      <c r="F78" s="10" t="inlineStr"/>
      <c r="G78"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8" s="10" t="inlineStr">
        <is>
          <t>SELECT COUNT(DISTINCT T1.owner_id) FROM Owners AS T1 INNER JOIN Dogs AS T2 ON T1.owner_id = T2.owner_id WHERE T2.abandoned_yn = 'N'</t>
        </is>
      </c>
      <c r="I78" s="10" t="inlineStr">
        <is>
          <t>SELECT count(*) FROM Owners WHERE owner_id NOT IN ( SELECT owner_id FROM Dogs )</t>
        </is>
      </c>
      <c r="J78" s="10" t="inlineStr">
        <is>
          <t>ok</t>
        </is>
      </c>
      <c r="K78" s="10" t="inlineStr">
        <is>
          <t>Sai cột</t>
        </is>
      </c>
      <c r="L78" s="11" t="n"/>
      <c r="M78" s="10">
        <f>IF(L78="","",IF(L78=K78,"Có","Không"))</f>
        <v/>
      </c>
      <c r="N78" s="11" t="n"/>
      <c r="O78" s="11" t="n"/>
      <c r="P78" s="11" t="n"/>
    </row>
    <row r="79" ht="150" customHeight="1">
      <c r="A79" s="10" t="n">
        <v>78</v>
      </c>
      <c r="B79" s="10" t="inlineStr">
        <is>
          <t>B</t>
        </is>
      </c>
      <c r="C79" s="10" t="inlineStr">
        <is>
          <t>ViSpider</t>
        </is>
      </c>
      <c r="D79" s="10" t="inlineStr">
        <is>
          <t>Qwen2.5-Coder-0.5B / baseline</t>
        </is>
      </c>
      <c r="E79" s="10" t="inlineStr">
        <is>
          <t>Tìm số lượng chủ không sở hữu bất kỳ con chó nào tại thời điểm hiện tại.</t>
        </is>
      </c>
      <c r="F79" s="10" t="inlineStr"/>
      <c r="G79"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79" s="10" t="inlineStr">
        <is>
          <t>SELECT COUNT(DISTINCT T1.owner_id) FROM Owners AS T1 INNER JOIN Dogs AS T2 ON T1.owner_id = T2.owner_id WHERE T2.abandoned_yn = 'N'</t>
        </is>
      </c>
      <c r="I79" s="10" t="inlineStr">
        <is>
          <t>SELECT count(*) FROM Owners WHERE owner_id NOT IN ( SELECT owner_id FROM Dogs )</t>
        </is>
      </c>
      <c r="J79" s="10" t="inlineStr">
        <is>
          <t>ok</t>
        </is>
      </c>
      <c r="K79" s="10" t="inlineStr">
        <is>
          <t>Sai cột</t>
        </is>
      </c>
      <c r="L79" s="11" t="n"/>
      <c r="M79" s="10">
        <f>IF(L79="","",IF(L79=K79,"Có","Không"))</f>
        <v/>
      </c>
      <c r="N79" s="11" t="n"/>
      <c r="O79" s="11" t="n"/>
      <c r="P79" s="11" t="n"/>
    </row>
    <row r="80" ht="150" customHeight="1">
      <c r="A80" s="10" t="n">
        <v>79</v>
      </c>
      <c r="B80" s="10" t="inlineStr">
        <is>
          <t>B</t>
        </is>
      </c>
      <c r="C80" s="10" t="inlineStr">
        <is>
          <t>ViSpider</t>
        </is>
      </c>
      <c r="D80" s="10" t="inlineStr">
        <is>
          <t>Qwen2.5-Coder-0.5B / baseline</t>
        </is>
      </c>
      <c r="E80" s="10" t="inlineStr">
        <is>
          <t>Tuổi của con chó lớn tuổi nhất là bao nhiêu?</t>
        </is>
      </c>
      <c r="F80" s="10" t="inlineStr"/>
      <c r="G80" s="10" t="inlineStr">
        <is>
          <t>Table: Breeds
  - breed_code VARCHAR(10)
  - breed_name VARCHAR(80)
Table: Charges
  - charge_id INTEGER
  - charge_type VARCHAR(10)
  - charge_amount DECIMAL(19,4)
Table: Dogs
  - dog_id INTEGER
  - owner_id INTEGER
  - abandoned_yn VARCHAR(1)
  - breed_code VARCHAR(10)
  - size_code VARCHAR(10)
  - name VARCHAR(50)
  - age VARCHAR(20)
  - date_of_birth DATETIME
  - gender VARCHAR(1)
  - weight VARCHAR(20)
  - date_arrived DATETIME
  - date_adopted DATETIME
  - date_departed DATETIME
Table: Owners
  - owner_id INTEGER
  - first_name VARCHAR(50)
  - last_name VARCHAR(50)
  - street VARCHAR(50)
  - city VARCHAR(50)
  - state VARCHAR(20)
  - zip_code VARCHAR(20)
  - email_address VARCHAR(50)
  - home_phone VARCHAR(20)
  - cell_number VARCHAR(20)
Table: Professionals
  - professional_id INTEGER
  - role_code VARCHAR(10)
  - first_name VARCHAR(50)
  - street VARCHAR(50)
  - city VARCHAR(50)
  - state VARCHAR(20)
  - zip_code VARCHAR(20)
  - last_name VARCHAR(50)
  - email_address VARCHAR(50)
  - home_phone VARCHAR(20)
  - cell_number VARCHAR(20)
Table: Sizes
  - size_code VARCHAR(10)
  - size_description VARCHAR(80)
Table: Treatment_Types
  - treatment_type_code VARCHAR(10)
  - treatment_type_description VARCHAR(80)
Table: Treatments
  - treatment_id INTEGER
  - dog_id INTEGER
  - professional_id INTEGER
  - treatment_type_code VARCHAR(10)
  - date_of_treatment DATETIME
  - cost_of_treatment DECIMAL(19,4)
Foreign keys:
  Dogs.owner_id = Owners.owner_id
  Dogs.breed_code = Breeds.breed_code
  Dogs.size_code = Sizes.size_code
  Treatments.dog_id = Dogs.dog_id
  Treatments.professional_id = Professionals.professional_id
  Treatments.treatment_type_code = Treatment_Types.treatment_type_code</t>
        </is>
      </c>
      <c r="H80" s="10" t="inlineStr">
        <is>
          <t>SELECT MAX(age) FROM Dogs WHERE breed_code = 'Golden Retriever';</t>
        </is>
      </c>
      <c r="I80" s="10" t="inlineStr">
        <is>
          <t>SELECT max(age) FROM Dogs</t>
        </is>
      </c>
      <c r="J80" s="10" t="inlineStr">
        <is>
          <t>ok</t>
        </is>
      </c>
      <c r="K80" s="10" t="inlineStr">
        <is>
          <t>Sai cột</t>
        </is>
      </c>
      <c r="L80" s="11" t="n"/>
      <c r="M80" s="10">
        <f>IF(L80="","",IF(L80=K80,"Có","Không"))</f>
        <v/>
      </c>
      <c r="N80" s="11" t="n"/>
      <c r="O80" s="11" t="n"/>
      <c r="P80" s="11" t="n"/>
    </row>
    <row r="81" ht="150" customHeight="1">
      <c r="A81" s="10" t="n">
        <v>80</v>
      </c>
      <c r="B81" s="10" t="inlineStr">
        <is>
          <t>B</t>
        </is>
      </c>
      <c r="C81" s="10" t="inlineStr">
        <is>
          <t>ViSpider</t>
        </is>
      </c>
      <c r="D81" s="10" t="inlineStr">
        <is>
          <t>Qwen2.5-Coder-0.5B / baseline</t>
        </is>
      </c>
      <c r="E81" s="10" t="inlineStr">
        <is>
          <t>Tên của các ca sĩ không có quốc tịch Pháp là gì?</t>
        </is>
      </c>
      <c r="F81" s="10" t="inlineStr"/>
      <c r="G81" s="10" t="inlineStr">
        <is>
          <t>Table: singer
  - Singer_ID INT
  - Name TEXT
  - Birth_Year REAL
  - Net_Worth_Millions REAL
  - Citizenship TEXT
Table: song
  - Song_ID INT
  - Title TEXT
  - Singer_ID INT
  - Sales REAL
  - Highest_Position REAL
Foreign keys:
  song.Singer_ID = singer.Singer_ID</t>
        </is>
      </c>
      <c r="H81" s="10" t="inlineStr">
        <is>
          <t>SELECT Name FROM singer WHERE Citizenship != 'Pháp';</t>
        </is>
      </c>
      <c r="I81" s="10" t="inlineStr">
        <is>
          <t>SELECT Name FROM singer WHERE Citizenship != "France"</t>
        </is>
      </c>
      <c r="J81" s="10" t="inlineStr">
        <is>
          <t>ok</t>
        </is>
      </c>
      <c r="K81" s="10" t="inlineStr">
        <is>
          <t>Sai cột</t>
        </is>
      </c>
      <c r="L81" s="11" t="n"/>
      <c r="M81" s="10">
        <f>IF(L81="","",IF(L81=K81,"Có","Không"))</f>
        <v/>
      </c>
      <c r="N81" s="11" t="n"/>
      <c r="O81" s="11" t="n"/>
      <c r="P81" s="11" t="n"/>
    </row>
    <row r="82" ht="150" customHeight="1">
      <c r="A82" s="10" t="n">
        <v>81</v>
      </c>
      <c r="B82" s="10" t="inlineStr">
        <is>
          <t>C</t>
        </is>
      </c>
      <c r="C82" s="10" t="inlineStr">
        <is>
          <t>ViSpider</t>
        </is>
      </c>
      <c r="D82" s="10" t="inlineStr">
        <is>
          <t>Qwen2.5-Coder-7B / full</t>
        </is>
      </c>
      <c r="E82" s="10" t="inlineStr">
        <is>
          <t>Với những sinh viên có thú cưng, mỗi sinh viên có bao nhiêu thú cưng? Hãy liệt kê các id thay vì tên.</t>
        </is>
      </c>
      <c r="F82" s="10" t="inlineStr"/>
      <c r="G82" s="10" t="inlineStr">
        <is>
          <t>Table: Has_Pet (Có_Chi_Tiểu)
  - StuID INTEGER | alias: Mã_Sinh_Viên, Mã SV, ID_SV | values: 1001, 1002 | -- Mã định danh của sinh viên.
  - PetID INTEGER | alias: Mã_Chi_Tiểu, Mã Chi, ID_Chi | values: 2001, 2002, 2003 | -- Mã định danh của thú cưng.
Table: Pets (Các con vật cưng)
  - PetID INTEGER | alias: Mã số con vật cưng, Số hiệu, ID | values: 2001, 2002, 2003 | -- Mã số duy nhất để xác định mỗi con vật cưng.
  - PetType VARCHAR(20) | alias: Kiểu con vật cưng, Động vật, Species | values: cat, dog | -- Kiểu hoặc loài của con vật cưng.
  - pet_age INTEGER | alias: Tuổi con vật cưng, Tuổi, Lứa tuổi | values: 3, 2, 1 | -- Tuổi hiện tại của con vật cưng tính theo năm.
Table: Student (Sinh viên)
  - StuID INTEGER | alias: Mã số sinh viên, Mã SV, ID SV | values: 1001, 1002, 1003 | -- Mã số duy nhất để xác định mỗi sinh viên
  - LName VARCHAR(12) | alias: Họ, Họ tên, Tên đệm | values: Smith, Kim, Jones | -- Họ của sinh viên
  - Fname VARCHAR(12) | alias: Tên, Tên gọi, Tên chính | values: Linda, Tracy, Shiela | -- Tên chính của sinh viên
  - Age INTEGER | alias: Tuổi, Tuổi tác, Tuổi hiện tại | values: 18, 19, 21 | -- Tuổi của sinh viên
  - Advisor INTEGER | alias: Giáo viên hướng dẫn, Giảng viên hướng dẫn, Thầy/Giáo sư hướng dẫn | values: 1121, 7712, 7792 | -- Mã số giáo viên hướng dẫn của sinh viên
Foreign keys:
  Has_Pet.StuID = Student.StuID
  Has_Pet.PetID = Pets.PetID</t>
        </is>
      </c>
      <c r="H82" s="10" t="inlineStr">
        <is>
          <t>SELECT StuID, COUNT(PetID) AS Number_of_Pets FROM Has_Pet GROUP BY StuID;</t>
        </is>
      </c>
      <c r="I82" s="10" t="inlineStr">
        <is>
          <t>select count(*) ,  t1.stuid from student as t1 join has_pet as t2 on t1.stuid  =  t2.stuid group by t1.stuid</t>
        </is>
      </c>
      <c r="J82" s="10" t="inlineStr">
        <is>
          <t>ok</t>
        </is>
      </c>
      <c r="K82" s="10" t="inlineStr">
        <is>
          <t>Chọn sai bảng</t>
        </is>
      </c>
      <c r="L82" s="11" t="n"/>
      <c r="M82" s="10">
        <f>IF(L82="","",IF(L82=K82,"Có","Không"))</f>
        <v/>
      </c>
      <c r="N82" s="11" t="n"/>
      <c r="O82" s="11" t="n"/>
      <c r="P82" s="11" t="n"/>
    </row>
    <row r="83" ht="150" customHeight="1">
      <c r="A83" s="10" t="n">
        <v>82</v>
      </c>
      <c r="B83" s="10" t="inlineStr">
        <is>
          <t>C</t>
        </is>
      </c>
      <c r="C83" s="10" t="inlineStr">
        <is>
          <t>ViSpider</t>
        </is>
      </c>
      <c r="D83" s="10" t="inlineStr">
        <is>
          <t>Qwen2.5-Coder-7B / full</t>
        </is>
      </c>
      <c r="E83" s="10" t="inlineStr">
        <is>
          <t>Nhà sản xuất của chiếc xe được sản xuất sớm nhất là gì và năm đó là năm nào?</t>
        </is>
      </c>
      <c r="F83" s="10" t="inlineStr"/>
      <c r="G83" s="10" t="inlineStr">
        <is>
          <t>Table: car_makers (Nhà sản xuất ô tô)
  - Id INTEGER | alias: Mã nhà sản xuất, ID, Mã | values: 1, 2, 3 | -- Mã duy nhất để xác định mỗi nhà sản xuất
  - Maker TEXT | alias: Tên viết tắt, Tên ngắn, Tên viết tắt nhà sản xuất | values: amc, volkswagen, bmw | -- Tên viết tắt hoặc mã ngắn của nhà sản xuất ô tô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 Make TEXT | alias: Hãng_xe, Nhãn_xe, Thương_hiệu | values: chevrolet chevelle malibu, buick skylark 320, plymouth satellite | -- Tên thương hiệu của hãng sản xuất xe.
Table: cars_data (Dữ liệu xe hơi)
  - Id INTEGER | alias: Mã xe, Số hiệu, ID | values: 1, 2, 3 | -- Mã duy nhất để xác định mỗi dòng xe trong cơ sở dữ liệu.
  - Year INTEGER | alias: Năm sản xuất, Năm sản xuất, Năm chế tạo | values: 1970, 1971, 1972 | -- Năm sản xuất của xe.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3" s="10" t="inlineStr">
        <is>
          <t>SELECT cm.FullName, cd.Year 
FROM car_makers cm 
JOIN model_list ml ON cm.Id = ml.Maker 
JOIN cars_data cd ON ml.ModelId = cd.Id 
ORDER BY cd.Year ASC 
LIMIT 1;</t>
        </is>
      </c>
      <c r="I83" s="10" t="inlineStr">
        <is>
          <t>SELECT T2.Make ,  T1.Year FROM CARS_DATA AS T1 JOIN CAR_NAMES AS T2 ON T1.Id  =  T2.MakeId WHERE T1.Year  =  (SELECT min(YEAR) FROM CARS_DATA);</t>
        </is>
      </c>
      <c r="J83" s="10" t="inlineStr">
        <is>
          <t>ok</t>
        </is>
      </c>
      <c r="K83" s="10" t="inlineStr">
        <is>
          <t>Chọn sai bảng</t>
        </is>
      </c>
      <c r="L83" s="11" t="n"/>
      <c r="M83" s="10">
        <f>IF(L83="","",IF(L83=K83,"Có","Không"))</f>
        <v/>
      </c>
      <c r="N83" s="11" t="n"/>
      <c r="O83" s="11" t="n"/>
      <c r="P83" s="11" t="n"/>
    </row>
    <row r="84" ht="150" customHeight="1">
      <c r="A84" s="10" t="n">
        <v>83</v>
      </c>
      <c r="B84" s="10" t="inlineStr">
        <is>
          <t>C</t>
        </is>
      </c>
      <c r="C84" s="10" t="inlineStr">
        <is>
          <t>ViSpider</t>
        </is>
      </c>
      <c r="D84" s="10" t="inlineStr">
        <is>
          <t>Qwen2.5-Coder-7B / full</t>
        </is>
      </c>
      <c r="E84" s="10" t="inlineStr">
        <is>
          <t>Có bao nhiêu xe có tốc độ tăng tốc cao hơn mức tối đa của các loại xe?</t>
        </is>
      </c>
      <c r="F84" s="10" t="inlineStr"/>
      <c r="G84" s="10" t="inlineStr">
        <is>
          <t>Table: car_makers (Nhà sản xuất ô tô)
  - Id INTEGER | alias: Mã nhà sản xuất, ID, Mã | values: 1, 2, 3 | -- Mã duy nhất để xác định mỗi nhà sản xuất
  - FullName TEXT | alias: Tên đầy đủ, Tên chính thức, Tên đầy đủ nhà sản xuất | values: American Motor Company, Volkswagen, BMW | -- Tên đầy đủ của nhà sản xuất ô tô
  - Country TEXT | alias: Quốc gia, Nước sản xuất, Quốc gia sản xuất | values: 1, 2, 3 | -- Quốc gia mà nhà sản xuất ô tô có trụ sở hoặc sản xuất
Table: car_names (Danh_sách_hãng_xe)
  - MakeId INTEGER | alias: Mã_hãng, ID_hãng, Số_hãng | values: 1, 2, 3 | -- Mã duy nhất đại diện cho hãng xe.
  - Model TEXT | alias: Tên_model, Tên_xe, Loại_xe | values: chevrolet, buick, plymouth | -- Tên cụ thể của mẫu xe thuộc hãng xe.
Table: cars_data (Dữ liệu xe hơi)
  - Id INTEGER | alias: Mã xe, Số hiệu, ID | values: 1, 2, 3 | -- Mã duy nhất để xác định mỗi dòng xe trong cơ sở dữ liệu.
  - MPG TEXT | alias: Hiệu suất nhiên liệu, Hiệu năng nhiên liệu, Kilomet/lít | values: 18, 15, 16 | -- Số kilomet mà một xe có thể đi với một gallon nhiên liệu.
  - Cylinders INTEGER | alias: Số xi lanh, Xi lanh, Động cơ | values: 8, 4, 6 | -- Số lượng xi lanh trong động cơ của xe.
  - Horsepower TEXT | alias: Mã lực, Mã lực động cơ, Mã lực xe | values: 130, 165, 150 | -- Sức mạnh tối đa mà động cơ xe có thể tạo ra.
  - Accelerate REAL | alias: Thời gian tăng tốc, Thời gian tăng tốc độ, Tăng tốc | values: 12.0, 11.5, 11.0 | -- Thời gian cần thiết để xe tăng từ 0 đến 60 dặm/giờ.
Table: model_list (Danh_sách_Model)
  - ModelId INTEGER | alias: Mã_Model, ID_Model, Số_Mã_Model | values: 1, 2, 3 | -- Mã duy nhất xác định mỗi mẫu xe.
  - Maker INTEGER | alias: Nhà_Sản_Xuất, Nhà_Sản_Hàng, Nhà_Sản_Phẩm | values: 1, 2, 3 | -- Mã hoặc số thứ tự của nhà sản xuất xe.
  - Model TEXT | alias: Tên_Model, Tên_Xe, Tên_Sản_Phẩm | values: amc, audi, bmw | -- Tên cụ thể của mẫu xe được sản xuất bởi nhà sản xuất.
Foreign keys:
  car_makers.Country = countries.CountryId
  car_names.Model = model_list.Model
  cars_data.Id = car_names.MakeId
  model_list.Maker = car_makers.Id</t>
        </is>
      </c>
      <c r="H84" s="10" t="inlineStr">
        <is>
          <t>SELECT COUNT(*) FROM cars_data WHERE Accelerate &gt; (SELECT MAX(Accelerate) FROM cars_data);</t>
        </is>
      </c>
      <c r="I84" s="10" t="inlineStr">
        <is>
          <t>SELECT COUNT(*) FROM CARS_DATA WHERE Accelerate  &gt;  ( SELECT Accelerate FROM CARS_DATA ORDER BY Horsepower DESC LIMIT 1 );</t>
        </is>
      </c>
      <c r="J84" s="10" t="inlineStr">
        <is>
          <t>ok</t>
        </is>
      </c>
      <c r="K84" s="10" t="inlineStr">
        <is>
          <t>Sai cột</t>
        </is>
      </c>
      <c r="L84" s="11" t="n"/>
      <c r="M84" s="10">
        <f>IF(L84="","",IF(L84=K84,"Có","Không"))</f>
        <v/>
      </c>
      <c r="N84" s="11" t="n"/>
      <c r="O84" s="11" t="n"/>
      <c r="P84" s="11" t="n"/>
    </row>
    <row r="85" ht="150" customHeight="1">
      <c r="A85" s="10" t="n">
        <v>84</v>
      </c>
      <c r="B85" s="10" t="inlineStr">
        <is>
          <t>C</t>
        </is>
      </c>
      <c r="C85" s="10" t="inlineStr">
        <is>
          <t>ViSpider</t>
        </is>
      </c>
      <c r="D85" s="10" t="inlineStr">
        <is>
          <t>Qwen2.5-Coder-7B / full</t>
        </is>
      </c>
      <c r="E85" s="10" t="inlineStr">
        <is>
          <t>Mã của sân bay nào có số lượng chuyến bay ít nhất?</t>
        </is>
      </c>
      <c r="F85" s="10" t="inlineStr"/>
      <c r="G85" s="10" t="inlineStr">
        <is>
          <t>Table: airlines (Các hãng hàng không)
  - uid INTEGER | alias: Mã hãng hàng không, ID hãng hàng không, Số hiệu hãng hàng không | values: 1, 2, 3 | -- Mã duy nhất để xác định mỗi hãng hàng không
Table: airports (Các sân bay)
  - City TEXT | alias: Thành phố, Thành thị, Khu vực | values: Aberdeen , Abilene , Abingdon  | -- Tên thành phố nơi sân bay nằm
  - AirportCode TEXT | alias: Mã sân bay, Mã IATA, Mã mã | values: AAF, ABI, ABL | -- Mã định danh của sân bay theo chuẩn quốc tế
  - AirportName TEXT | alias: Tên sân bay, Tên chính thức, Tên gọi | values: Phillips AAF , Municipal , Dyess AFB  | -- Tên chính thức của sân bay
  - Country TEXT | alias: Quốc gia, Nước, Quốc phong | values: United States  | -- Quốc gia mà sân bay nằm trong đó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5" s="10" t="inlineStr">
        <is>
          <t>SELECT SourceAirport 
FROM flights 
GROUP BY SourceAirport 
ORDER BY COUNT(*) ASC 
LIMIT 1;</t>
        </is>
      </c>
      <c r="I85" s="10" t="inlineStr">
        <is>
          <t>SELECT T1.AirportCode FROM AIRPORTS AS T1 JOIN FLIGHTS AS T2 ON T1.AirportCode  =  T2.DestAirport OR T1.AirportCode  =  T2.SourceAirport GROUP BY T1.AirportCode ORDER BY count(*) LIMIT 1</t>
        </is>
      </c>
      <c r="J85" s="10" t="inlineStr">
        <is>
          <t>ok</t>
        </is>
      </c>
      <c r="K85" s="10" t="inlineStr">
        <is>
          <t>Chọn sai bảng</t>
        </is>
      </c>
      <c r="L85" s="11" t="n"/>
      <c r="M85" s="10">
        <f>IF(L85="","",IF(L85=K85,"Có","Không"))</f>
        <v/>
      </c>
      <c r="N85" s="11" t="n"/>
      <c r="O85" s="11" t="n"/>
      <c r="P85" s="11" t="n"/>
    </row>
    <row r="86" ht="150" customHeight="1">
      <c r="A86" s="10" t="n">
        <v>85</v>
      </c>
      <c r="B86" s="10" t="inlineStr">
        <is>
          <t>C</t>
        </is>
      </c>
      <c r="C86" s="10" t="inlineStr">
        <is>
          <t>ViSpider</t>
        </is>
      </c>
      <c r="D86" s="10" t="inlineStr">
        <is>
          <t>Qwen2.5-Coder-7B / full</t>
        </is>
      </c>
      <c r="E86" s="10" t="inlineStr">
        <is>
          <t>Biên mã hóa của hãng hàng không có số lượng chuyến bay ít nhất là gì và nó nằm ở quốc gia nào?</t>
        </is>
      </c>
      <c r="F86" s="10" t="inlineStr"/>
      <c r="G86" s="10" t="inlineStr">
        <is>
          <t>Table: airlines (Các hãng hàng không)
  - uid INTEGER | alias: Mã hãng hàng không, ID hãng hàng không, Số hiệu hãng hàng không | values: 1, 2, 3 | -- Mã duy nhất để xác định mỗi hãng hàng không
  - Airline TEXT | alias: Tên hãng hàng không, Hãng hàng không, Tên công ty hàng không | values: United Airlines, US Airways, Delta Airlines | -- Tên đầy đủ của hãng hàng không
  - Abbreviation TEXT | alias: Đơn vị viết tắt, Viết tắt, Ký hiệu | values: UAL, USAir, Delta | -- Đơn vị viết tắt hoặc ký hiệu của hãng hàng không
  - Country TEXT | alias: Quốc gia, Nước, Quốc gia thành lập | values: USA | -- Quốc gia mà hãng hàng không hoạt động chính thức
Table: airports (Các sân bay)
  - AirportCode TEXT | alias: Mã sân bay, Mã IATA, Mã mã | values: AAF, ABI, ABL | -- Mã định danh của sân bay theo chuẩn quốc tế
  - CountryAbbrev TEXT | alias: Từ viết tắt quốc gia, Từ viết tắt, Biên mã | values: US , US | -- Viết tắt của quốc gia theo chuẩn quốc tế
Table: flights (Hành trình máy bay)
  - Airline INTEGER | alias: Hãng hàng không, Công ty hàng không, Hãng bay | values: 1, 2, 3 | -- Mã số của hãng hàng không.
  - FlightNo INTEGER | alias: Số chuyến bay, Số chuyến, Mã chuyến bay | values: 28, 29, 44 | -- Số hiệu chuyến bay của hãng hàng không.
  - SourceAirport TEXT | alias: Sân bay xuất phát, Sân bay đi, Sân bay xuất phát | values:  APG,  ASY,  CVO | -- Tên hoặc mã của sân bay nơi chuyến bay xuất phát.
  - DestAirport TEXT | alias: Sân bay đến, Sân bay đến, Sân bay đích | values:  ASY,  APG,  ACV | -- Tên hoặc mã của sân bay nơi chuyến bay đến.
Foreign keys:
  flights.SourceAirport = airports.AirportCode
  flights.DestAirport = airports.AirportCode</t>
        </is>
      </c>
      <c r="H86" s="10" t="inlineStr">
        <is>
          <t>SELECT T1.CountryAbbrev, COUNT(*) as MinFlights 
FROM airports AS T1 
JOIN flights AS T2 ON T1.AirportCode = T2.SourceAirport 
GROUP BY T1.CountryAbbrev 
ORDER BY MinFlights ASC 
LIMIT 1;</t>
        </is>
      </c>
      <c r="I86" s="10" t="inlineStr">
        <is>
          <t>SELECT T1.Abbreviation ,  T1.Country FROM AIRLINES AS T1 JOIN FLIGHTS AS T2 ON T1.uid  =  T2.Airline GROUP BY T1.Airline ORDER BY count(*) LIMIT 1</t>
        </is>
      </c>
      <c r="J86" s="10" t="inlineStr">
        <is>
          <t>ok</t>
        </is>
      </c>
      <c r="K86" s="10" t="inlineStr">
        <is>
          <t>Chọn sai bảng</t>
        </is>
      </c>
      <c r="L86" s="11" t="n"/>
      <c r="M86" s="10">
        <f>IF(L86="","",IF(L86=K86,"Có","Không"))</f>
        <v/>
      </c>
      <c r="N86" s="11" t="n"/>
      <c r="O86" s="11" t="n"/>
      <c r="P86" s="11" t="n"/>
    </row>
    <row r="87" ht="150" customHeight="1">
      <c r="A87" s="10" t="n">
        <v>86</v>
      </c>
      <c r="B87" s="10" t="inlineStr">
        <is>
          <t>C</t>
        </is>
      </c>
      <c r="C87" s="10" t="inlineStr">
        <is>
          <t>ViSpider</t>
        </is>
      </c>
      <c r="D87" s="10" t="inlineStr">
        <is>
          <t>Qwen2.5-Coder-7B / full</t>
        </is>
      </c>
      <c r="E87" s="10" t="inlineStr">
        <is>
          <t>Trả về id và mã loại của template được sử dụng cho nhiều tài liệu nhất.</t>
        </is>
      </c>
      <c r="F87" s="10" t="inlineStr"/>
      <c r="G87" s="10" t="inlineStr">
        <is>
          <t>Table: Documents (Dữ liệu văn bản)
  - Document_ID INTEGER | alias: Mã tài liệu, ID tài liệu, Số tài liệu | values: 0, 1, 3 | -- Mã duy nhất để xác định mỗi tài liệu
  - Template_ID INTEGER | alias: Mã mẫu, ID mẫu, Số mẫu | values: 7, 25, 6 | -- Mã duy nhất để xác định mẫu tài liệu liên quan
  - Document_Name VARCHAR(255) | alias: Tên tài liệu, Tên gọi, Tiêu đề | values: Introduction of OS, Understanding DB, Summer Show | -- Tên hoặc tiêu đề của tài liệu
Table: Paragraphs (Các đoạn văn)
  - Paragraph_ID INTEGER | alias: ID của đoạn văn, Mã đoạn văn, Số đoạn văn | values: 7, 9, 65 | -- Mã duy nhất xác định mỗi đoạn văn
  - Document_ID INTEGER | alias: ID của tài liệu, Mã tài liệu, Số tài liệu | values: 2394, 3, 50123 | -- Mã duy nhất xác định mỗi tài liệu
Table: Ref_Template_Types (Loại_Mẫu_Bản_Ghi)
  - Template_Type_Code CHAR(15) | alias: Mã_Loại_Mẫu, Mã Loại, Ký_Tự_Loại | values: AD, BK, CV | -- Mã đại diện cho loại mẫu bản ghi.
  - Template_Type_Description VARCHAR(255) | alias: Miêu_Tả_Loại_Mẫu, Miêu tả Loại, Nội_Dung_Loại | values: Presentation, CV, Advertisement | -- Miêu tả chi tiết về loại mẫu bản ghi.
Table: Templates (Mẫu)
  - Template_ID INTEGER | alias: Mã Mẫu, ID Mẫu, Số Mẫu | values: 0, 1, 4 | -- Mã duy nhất để xác định mỗi mẫu.
  - Version_Number INTEGER | alias: Số Phiên Bản, Phiên Bản, Số Lần Cập Nhật | values: 5, 9, 4 | -- Số phiên bản của mẫu.
  - Template_Type_Code CHAR(15) | alias: Mã Loại Mẫu, Loại Mẫu, Mã Mẫu Loại | values: PP, BK, PPT | -- Mã đại diện cho loại mẫu.
  - Template_Details VARCHAR(255) | alias: Chi Tiết Mẫu, Thông Tin Mẫu, Nội Dung Mẫu | values:  | -- Chi tiết hoặc nội dung của mẫu.
Foreign keys:
  Documents.Template_ID = Templates.Template_ID
  Paragraphs.Document_ID = Documents.Document_ID
  Templates.Template_Type_Code = Ref_Template_Types.Template_Type_Code</t>
        </is>
      </c>
      <c r="H87" s="10" t="inlineStr">
        <is>
          <t>SELECT T1.Template_ID, T3.Template_Type_Code 
FROM Templates AS T1 
JOIN Documents AS T2 ON T1.Template_ID = T2.Template_ID 
JOIN Ref_Template_Types AS T3 ON T1.Template_Type_Code = T3.Template_Type_Code 
GROUP BY T1.Template_ID, T3.Template_Type_Code 
ORDER BY COUNT(T2.Document_ID) DESC 
LIMIT 1;</t>
        </is>
      </c>
      <c r="I87" s="10" t="inlineStr">
        <is>
          <t>SELECT T1.template_id ,  T2.Template_Type_Code FROM Documents AS T1 JOIN Templates AS T2 ON T1.template_id  =  T2.template_id GROUP BY T1.template_id ORDER BY count(*) DESC LIMIT 1</t>
        </is>
      </c>
      <c r="J87" s="10" t="inlineStr">
        <is>
          <t>ok</t>
        </is>
      </c>
      <c r="K87" s="10" t="inlineStr">
        <is>
          <t>Chọn sai bảng</t>
        </is>
      </c>
      <c r="L87" s="11" t="n"/>
      <c r="M87" s="10">
        <f>IF(L87="","",IF(L87=K87,"Có","Không"))</f>
        <v/>
      </c>
      <c r="N87" s="11" t="n"/>
      <c r="O87" s="11" t="n"/>
      <c r="P87" s="11" t="n"/>
    </row>
    <row r="88" ht="150" customHeight="1">
      <c r="A88" s="10" t="n">
        <v>87</v>
      </c>
      <c r="B88" s="10" t="inlineStr">
        <is>
          <t>C</t>
        </is>
      </c>
      <c r="C88" s="10" t="inlineStr">
        <is>
          <t>ViSpider</t>
        </is>
      </c>
      <c r="D88" s="10" t="inlineStr">
        <is>
          <t>Qwen2.5-Coder-7B / full</t>
        </is>
      </c>
      <c r="E88" s="10" t="inlineStr">
        <is>
          <t>Tìm xếp hạng trung bình cho mỗi người chơi và tên đầu tiên của họ.</t>
        </is>
      </c>
      <c r="F88" s="10" t="inlineStr"/>
      <c r="G88" s="10" t="inlineStr">
        <is>
          <t>Table: matches (Kết quả trận đấu)
  - loser_id INT | alias: Mã người thua, Mã, ID người thua | values: 201474, 201520, 201493 | -- Mã duy nhất xác định người chơi thua cuộc trong giải đấu.
  - loser_name TEXT | alias: Tên của người thua, Tên, Tên người thua | values: Agnieszka Radwanska, Petra Kvitova, Angelique Kerber | -- Tên đầy đủ của người chơi thua cuộc trong trận đấu.
  - loser_rank INT | alias: Xếp hạng của người thua, Xếp hạng, Xếp hạng người thua | values: 4, 6, 9 | -- Xếp hạng của người chơi thua cuộc trong giải đấu.
  - loser_rank_points INT | alias: Điểm xếp hạng của người thua, Điểm xếp hạng, Điểm người thua | values: 5890, 4370, 3715 | -- Số điểm xếp hạng của người chơi thua cuộc trong giải đấu.
  - match_num INT | alias: Số thứ tự trận đấu, STT trận đấu, ID trận đấu | values: 297, 296, 295 | -- Số thứ tự duy nhất của mỗi trận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Foreign keys:
  matches.loser_id = players.player_id
  matches.winner_id = players.player_id
  rankings.player_id = players.player_id</t>
        </is>
      </c>
      <c r="H88" s="10" t="inlineStr">
        <is>
          <t>SELECT AVG(rankings.ranking) AS average_ranking, players.first_name 
FROM rankings 
JOIN players ON rankings.player_id = players.player_id 
GROUP BY players.player_id, players.first_name;</t>
        </is>
      </c>
      <c r="I88" s="10" t="inlineStr">
        <is>
          <t>SELECT avg(ranking) ,  T1.first_name FROM players AS T1 JOIN rankings AS T2 ON T1.player_id  =  T2.player_id GROUP BY T1.first_name</t>
        </is>
      </c>
      <c r="J88" s="10" t="inlineStr">
        <is>
          <t>ok</t>
        </is>
      </c>
      <c r="K88" s="10" t="inlineStr">
        <is>
          <t>Sai hàm gộp hoặc GROUP BY</t>
        </is>
      </c>
      <c r="L88" s="11" t="n"/>
      <c r="M88" s="10">
        <f>IF(L88="","",IF(L88=K88,"Có","Không"))</f>
        <v/>
      </c>
      <c r="N88" s="11" t="n"/>
      <c r="O88" s="11" t="n"/>
      <c r="P88" s="11" t="n"/>
    </row>
    <row r="89" ht="150" customHeight="1">
      <c r="A89" s="10" t="n">
        <v>88</v>
      </c>
      <c r="B89" s="10" t="inlineStr">
        <is>
          <t>C</t>
        </is>
      </c>
      <c r="C89" s="10" t="inlineStr">
        <is>
          <t>ViSpider</t>
        </is>
      </c>
      <c r="D89" s="10" t="inlineStr">
        <is>
          <t>Qwen2.5-Coder-7B / full</t>
        </is>
      </c>
      <c r="E89" s="10" t="inlineStr">
        <is>
          <t>Các tên đầu tiên của tất cả các cầu thủ và xếp hạng trung bình của họ là gì?</t>
        </is>
      </c>
      <c r="F89" s="10" t="inlineStr"/>
      <c r="G89" s="10" t="inlineStr">
        <is>
          <t>Table: matches (Kết quả trận đấu)
  - loser_id INT | alias: Mã người thua, Mã, ID người thua | values: 201474, 201520, 201493 | -- Mã duy nhất xác định người chơi thua cuộc trong giải đấu.
  - winner_id INT | alias: Mã vận động viên, ID vận động viên, Mã ID | values: 200033, 201520, 201493 | -- Mã duy nhất xác định vận động viên thắng cuộc.
  - winner_rank INT | alias: Xếp hạng, Hạng, Xếp hạng thi đấu | values: 1, 6, 9 | -- Xếp hạng của vận động viên trước khi tham dự giải đấu.
  - winner_rank_points INT | alias: Điểm xếp hạng, Điểm hạng, Điểm xếp hạng thi đấu | values: 12040, 4370, 3715 | -- Số điểm xếp hạng của vận động viên trước khi tham dự giải đấu.
Table: players (Cầu thủ)
  - player_id INT | alias: ID cầu thủ, Mã cầu thủ, Số ID | values: 200001, 200002, 200003 | -- Mã duy nhất xác định mỗi cầu thủ
  - first_name TEXT | alias: Họ tên, Tên đệm, Tên | values: Martina, Mirjana, Justine | -- Tên đệm hoặc tên của cầu thủ
  - last_name TEXT | alias: Tên, Tên họ, Tên cuối | values: Hingis, Lucic, Henin | -- Tên hoặc tên họ của cầu thủ
  - birth_date DATE | alias: Ngày sinh, Ngày ra đời, Ngày sinh nhật | values: 19800930, 19820309, 19820601 | -- Ngày sinh của cầu thủ
Table: rankings (Bảng xếp hạng)
  - ranking INT | alias: Hạng, Số thứ tự, Số hạng | values: 3, 4, 28 | -- Thứ tự xếp hạng của cầu thủ
  - player_id INT | alias: Mã cầu thủ, ID cầu thủ, Số hiệu cầu thủ | values: 200748, 200033, 200020 | -- Mã duy nhất xác định cầu thủ trong hệ thống
  - ranking_points INT | alias: Điểm xếp hạng, Điểm đánh giá, Điểm xếp hạng | values: 4378, 3021, 960 | -- Số điểm được ghi nhận cho cầu thủ trong lần xếp hạng này
  - tours INT | alias: Số trận đấu, Số lượt thi đấu, Số lần tham dự | values: 13, 15, 0 | -- Số lượng trận đấu mà cầu thủ đã tham gia
Foreign keys:
  matches.loser_id = players.player_id
  matches.winner_id = players.player_id
  rankings.player_id = players.player_id</t>
        </is>
      </c>
      <c r="H89" s="10" t="inlineStr">
        <is>
          <t>SELECT p.first_name, AVG(r.ranking_points) AS average_ranking_points
FROM players p
JOIN rankings r ON p.player_id = r.player_id
GROUP BY p.first_name;</t>
        </is>
      </c>
      <c r="I89" s="10" t="inlineStr">
        <is>
          <t>SELECT avg(ranking) ,  T1.first_name FROM players AS T1 JOIN rankings AS T2 ON T1.player_id  =  T2.player_id GROUP BY T1.first_name</t>
        </is>
      </c>
      <c r="J89" s="10" t="inlineStr">
        <is>
          <t>ok</t>
        </is>
      </c>
      <c r="K89" s="10" t="inlineStr">
        <is>
          <t>Sai cột</t>
        </is>
      </c>
      <c r="L89" s="11" t="n"/>
      <c r="M89" s="10">
        <f>IF(L89="","",IF(L89=K89,"Có","Không"))</f>
        <v/>
      </c>
      <c r="N89" s="11" t="n"/>
      <c r="O89" s="11" t="n"/>
      <c r="P89" s="11" t="n"/>
    </row>
    <row r="90" ht="150" customHeight="1">
      <c r="A90" s="10" t="n">
        <v>89</v>
      </c>
      <c r="B90" s="10" t="inlineStr">
        <is>
          <t>C</t>
        </is>
      </c>
      <c r="C90" s="10" t="inlineStr">
        <is>
          <t>ViSpider</t>
        </is>
      </c>
      <c r="D90" s="10" t="inlineStr">
        <is>
          <t>Qwen2.5-Coder-7B / full</t>
        </is>
      </c>
      <c r="E90" s="10" t="inlineStr">
        <is>
          <t>Những quốc gia châu Á nào có dân số lớn hơn bất kỳ quốc gia nào ở châu Phi?</t>
        </is>
      </c>
      <c r="F90" s="10" t="inlineStr"/>
      <c r="G90"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 float(10,2) | alias: Tổng sản phẩm quốc nội, GDP, Tổng giá trị sản xuất | values: 828.0, 5976.0, 6648.0 | -- Tổng sản phẩm quốc nội của quốc gia (ví dụ: 828.0, 5976.0, 6648.0)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0" s="10" t="inlineStr">
        <is>
          <t>SELECT Name FROM country WHERE Continent = 'Asia' AND Population &gt; (SELECT MAX(Population) FROM country WHERE Continent = 'Africa');</t>
        </is>
      </c>
      <c r="I90" s="10" t="inlineStr">
        <is>
          <t>SELECT Name FROM country WHERE Continent  =  "Asia"  AND population  &gt;  (SELECT min(population) FROM country WHERE Continent  =  "Africa")</t>
        </is>
      </c>
      <c r="J90" s="10" t="inlineStr">
        <is>
          <t>ok</t>
        </is>
      </c>
      <c r="K90" s="10" t="inlineStr">
        <is>
          <t>Sai cột</t>
        </is>
      </c>
      <c r="L90" s="11" t="n"/>
      <c r="M90" s="10">
        <f>IF(L90="","",IF(L90=K90,"Có","Không"))</f>
        <v/>
      </c>
      <c r="N90" s="11" t="n"/>
      <c r="O90" s="11" t="n"/>
      <c r="P90" s="11" t="n"/>
    </row>
    <row r="91" ht="150" customHeight="1">
      <c r="A91" s="10" t="n">
        <v>90</v>
      </c>
      <c r="B91" s="10" t="inlineStr">
        <is>
          <t>C</t>
        </is>
      </c>
      <c r="C91" s="10" t="inlineStr">
        <is>
          <t>ViSpider</t>
        </is>
      </c>
      <c r="D91" s="10" t="inlineStr">
        <is>
          <t>Qwen2.5-Coder-7B / full</t>
        </is>
      </c>
      <c r="E91" s="10" t="inlineStr">
        <is>
          <t>Tên, năm giải phóng và diện tích của quốc gia có dân số nhỏ nhất là gì?</t>
        </is>
      </c>
      <c r="F91" s="10" t="inlineStr"/>
      <c r="G91"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HeadOfState char(60) | alias: Chủ tịch nước, Người đứng đầu nhà nước, Thủ tướng | values: Beatrix, Mohammad Omar, José Eduardo dos Santos | -- Tên của người đứng đầu nhà nước
Foreign keys:
  city.CountryCode = country.Code</t>
        </is>
      </c>
      <c r="H91" s="10" t="inlineStr">
        <is>
          <t>SELECT Name, IndepYear, SurfaceArea 
FROM country 
ORDER BY Population ASC 
LIMIT 1;</t>
        </is>
      </c>
      <c r="I91" s="10" t="inlineStr">
        <is>
          <t>SELECT Name ,  SurfaceArea ,  IndepYear FROM country ORDER BY Population LIMIT 1</t>
        </is>
      </c>
      <c r="J91" s="10" t="inlineStr">
        <is>
          <t>ok</t>
        </is>
      </c>
      <c r="K91" s="10" t="inlineStr">
        <is>
          <t>Sai sắp xếp hoặc LIMIT</t>
        </is>
      </c>
      <c r="L91" s="11" t="n"/>
      <c r="M91" s="10">
        <f>IF(L91="","",IF(L91=K91,"Có","Không"))</f>
        <v/>
      </c>
      <c r="N91" s="11" t="n"/>
      <c r="O91" s="11" t="n"/>
      <c r="P91" s="11" t="n"/>
    </row>
    <row r="92" ht="150" customHeight="1">
      <c r="A92" s="10" t="n">
        <v>91</v>
      </c>
      <c r="B92" s="10" t="inlineStr">
        <is>
          <t>C</t>
        </is>
      </c>
      <c r="C92" s="10" t="inlineStr">
        <is>
          <t>ViSpider</t>
        </is>
      </c>
      <c r="D92" s="10" t="inlineStr">
        <is>
          <t>Qwen2.5-Coder-7B / full</t>
        </is>
      </c>
      <c r="E92" s="10" t="inlineStr">
        <is>
          <t>Tìm số lượng các thành phố trong mỗi district có dân số lớn hơn dân số trung bình của các thành phố?</t>
        </is>
      </c>
      <c r="F92" s="10" t="inlineStr"/>
      <c r="G92" s="10" t="inlineStr">
        <is>
          <t>Table: city (Thành Phố)
  - ID INTEGER | alias: Mã Thành Phố, Mã TP, ID Thành Phố | values: 129, 1, 2 | -- Mã duy nhất xác định mỗi thành phố.
  - Name char(35) | alias: Tên Thành Phố, Tên TP, Tên | values: Kabul, Qandahar, Herat | -- Tên chính thức của thành phố.
  - CountryCode char(3) | alias: Mã Quốc Gia, Mã QG, Mã | values: ABW, AFG, AGO | -- Mã quốc gia mà thành phố thuộc về.
  - District char(20) | alias: Quận Huyện, Quận, Huyện | values: Kabol, Qandahar, Herat | -- Tên quận hoặc huyện mà thành phố nằm trong.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Capital INTEGER | alias: Kinh đô, Thủ đô, Kinh thành | values: 129, 1, 56 | -- Mã số của kinh đô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Percentage float(4,1) | alias: Tỷ_lệ_sử_dụng, Phần_tỷ, Số_lượng | values: 5.3, 9.5, 76.7 | -- Tỷ lệ phần trăm người sử dụng ngôn ngữ này trong dân số
Foreign keys:
  city.CountryCode = country.Code
  countrylanguage.CountryCode = country.Code</t>
        </is>
      </c>
      <c r="H92" s="10" t="inlineStr">
        <is>
          <t>SELECT District, COUNT(*) AS NumberOfCities
FROM city
WHERE Population &gt; (SELECT AVG(Population) FROM city)
GROUP BY District;</t>
        </is>
      </c>
      <c r="I92" s="10" t="inlineStr">
        <is>
          <t>SELECT count(*) ,  District FROM city WHERE Population  &gt;  (SELECT avg(Population) FROM city) GROUP BY District</t>
        </is>
      </c>
      <c r="J92" s="10" t="inlineStr">
        <is>
          <t>ok</t>
        </is>
      </c>
      <c r="K92" s="10" t="inlineStr">
        <is>
          <t>Khác</t>
        </is>
      </c>
      <c r="L92" s="11" t="n"/>
      <c r="M92" s="10">
        <f>IF(L92="","",IF(L92=K92,"Có","Không"))</f>
        <v/>
      </c>
      <c r="N92" s="11" t="n"/>
      <c r="O92" s="11" t="n"/>
      <c r="P92" s="11" t="n"/>
    </row>
    <row r="93" ht="150" customHeight="1">
      <c r="A93" s="10" t="n">
        <v>92</v>
      </c>
      <c r="B93" s="10" t="inlineStr">
        <is>
          <t>C</t>
        </is>
      </c>
      <c r="C93" s="10" t="inlineStr">
        <is>
          <t>ViSpider</t>
        </is>
      </c>
      <c r="D93" s="10" t="inlineStr">
        <is>
          <t>Qwen2.5-Coder-7B / full</t>
        </is>
      </c>
      <c r="E93" s="10" t="inlineStr">
        <is>
          <t>Tìm tên chính phủ và tổng dân số cho từng chính phủ có độ tuổi thọ trung bình dài hơn 72.</t>
        </is>
      </c>
      <c r="F93" s="10" t="inlineStr"/>
      <c r="G93"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 GovernmentForm char(45) | alias: Hình thức chính phủ, Chính thể, Hệ thống chính trị | values: Nonmetropolitan Territory of The Netherlands, Islamic Emirate, Republic | -- Hình thức chính phủ của quốc gia (ví dụ: Đảo không thuộc liên bang của Hà Lan, Chính quyền Hồi giáo, Cộng hòa)
  - HeadOfState char(60) | alias: Chủ tịch nước, Người đứng đầu nhà nước, Thủ tướng | values: Beatrix, Mohammad Omar, José Eduardo dos Santos | -- Tên của người đứng đầu nhà nước
Foreign keys:
  city.CountryCode = country.Code</t>
        </is>
      </c>
      <c r="H93" s="10" t="inlineStr">
        <is>
          <t>SELECT c.GovernmentForm, SUM(p.Population) AS TotalPopulation
FROM country c
JOIN city p ON c.Code = p.CountryCode
GROUP BY c.GovernmentForm
HAVING AVG(c.LifeExpectancy) &gt; 72;</t>
        </is>
      </c>
      <c r="I93" s="10" t="inlineStr">
        <is>
          <t>SELECT sum(Population) ,  GovernmentForm FROM country GROUP BY GovernmentForm HAVING avg(LifeExpectancy)  &gt;  72</t>
        </is>
      </c>
      <c r="J93" s="10" t="inlineStr">
        <is>
          <t>ok</t>
        </is>
      </c>
      <c r="K93" s="10" t="inlineStr">
        <is>
          <t>Chọn sai bảng</t>
        </is>
      </c>
      <c r="L93" s="11" t="n"/>
      <c r="M93" s="10">
        <f>IF(L93="","",IF(L93=K93,"Có","Không"))</f>
        <v/>
      </c>
      <c r="N93" s="11" t="n"/>
      <c r="O93" s="11" t="n"/>
      <c r="P93" s="11" t="n"/>
    </row>
    <row r="94" ht="150" customHeight="1">
      <c r="A94" s="10" t="n">
        <v>93</v>
      </c>
      <c r="B94" s="10" t="inlineStr">
        <is>
          <t>C</t>
        </is>
      </c>
      <c r="C94" s="10" t="inlineStr">
        <is>
          <t>ViSpider</t>
        </is>
      </c>
      <c r="D94" s="10" t="inlineStr">
        <is>
          <t>Qwen2.5-Coder-7B / full</t>
        </is>
      </c>
      <c r="E94" s="10" t="inlineStr">
        <is>
          <t>Tìm tuổi thọ trung bình và tổng dân số cho mỗi lục địa nơi tuổi thọ trung bình ngắn hơn 72?</t>
        </is>
      </c>
      <c r="F94" s="10" t="inlineStr"/>
      <c r="G94"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 Population INTEGER | alias: Số Lượng Dân Số, Dân Số, Số Dân | values: 1780000, 237500, 186800 | -- Số lượng dân số của thành phố.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Continent TEXT | alias: Lục địa, Địa phận, Vùng lục địa | values: North America, Asia, Africa | -- Lục địa mà quốc gia nằm (ví dụ: Bắc Mỹ, Á châu, Phi)
  - Region char(26) | alias: Vùng, Khu vực, Phân khu | values: Caribbean, Southern and Central Asia, Central Africa | -- Vùng hoặc phân khu của quốc gia (ví dụ: Caribe, Nam và Trung Á châu, Trung Phi)
  - SurfaceArea float(10,2) | alias: Diện tích, Diện tích đất liền, Kích thước | values: 193.0, 652090.0, 1246700.0 | -- Diện tích đất liền của quốc gia (ví dụ: 193.0, 652090.0, 1246700.0)
  - IndepYear INTEGER | alias: Năm độc lập, Năm tự do, Năm giải phóng | values: 1919, 1975, 1912 | -- Năm quốc gia giành được độc lập (ví dụ: 1919, 1975, 1912)
  - Population INTEGER | alias: Dân số, Số dân, Người dân | values: 103000, 22720000, 12878000 | -- Số dân của quốc gia (ví dụ: 103000, 22720000, 12878000)
  - LifeExpectancy float(3,1) | alias: Tuổi thọ trung bình, Thời gian sống trung bình, Tuổi thọ | values: 78.4, 45.9, 38.3 | -- Tuổi thọ trung bình của người dân trong quốc gia (ví dụ: 78.4, 45.9, 38.3)
  - GNPOld float(10,2) | alias: Tổng sản phẩm quốc nội cũ, GDP cũ, Tổng giá trị sản xuất cũ | values: 793.0, 7984.0, 2500.0 | -- Tổng sản phẩm quốc nội cũ của quốc gia (ví dụ: 793.0, 7984.0, 2500.0)
  - LocalName char(45) | alias: Tên địa phương, Tên bản địa, Tên dân gian | values: Aruba, Afganistan/Afqanestan, Angola | -- Tên địa phương hoặc tên dân gian của quốc gia (ví dụ: Aruba, Afganistan/Afqanestan, Angola)
Foreign keys:
  city.CountryCode = country.Code</t>
        </is>
      </c>
      <c r="H94" s="10" t="inlineStr">
        <is>
          <t>SELECT c.Continent, AVG(c.LifeExpectancy) AS AvgLifeExpectancy, SUM(c.Population) AS TotalPopulation
FROM country c
WHERE c.LifeExpectancy &lt; 72
GROUP BY c.Continent;</t>
        </is>
      </c>
      <c r="I94" s="10" t="inlineStr">
        <is>
          <t>SELECT sum(Population) ,  avg(LifeExpectancy) ,  Continent FROM country GROUP BY Continent HAVING avg(LifeExpectancy)  &lt;  72</t>
        </is>
      </c>
      <c r="J94" s="10" t="inlineStr">
        <is>
          <t>ok</t>
        </is>
      </c>
      <c r="K94" s="10" t="inlineStr">
        <is>
          <t>Sai hàm gộp hoặc GROUP BY</t>
        </is>
      </c>
      <c r="L94" s="11" t="n"/>
      <c r="M94" s="10">
        <f>IF(L94="","",IF(L94=K94,"Có","Không"))</f>
        <v/>
      </c>
      <c r="N94" s="11" t="n"/>
      <c r="O94" s="11" t="n"/>
      <c r="P94" s="11" t="n"/>
    </row>
    <row r="95" ht="150" customHeight="1">
      <c r="A95" s="10" t="n">
        <v>94</v>
      </c>
      <c r="B95" s="10" t="inlineStr">
        <is>
          <t>C</t>
        </is>
      </c>
      <c r="C95" s="10" t="inlineStr">
        <is>
          <t>ViSpider</t>
        </is>
      </c>
      <c r="D95" s="10" t="inlineStr">
        <is>
          <t>Qwen2.5-Coder-7B / full</t>
        </is>
      </c>
      <c r="E95" s="10" t="inlineStr">
        <is>
          <t>Mã của các quốc gia nơi tiếng Tây Ban Nha được nói với tỷ lệ lớn nhất là gì?</t>
        </is>
      </c>
      <c r="F95" s="10" t="inlineStr"/>
      <c r="G95" s="10" t="inlineStr">
        <is>
          <t>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SurfaceArea float(10,2) | alias: Diện tích, Diện tích đất liền, Kích thước | values: 193.0, 652090.0, 1246700.0 | -- Diện tích đất liền của quốc gia (ví dụ: 193.0, 652090.0, 1246700.0)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countrylanguage.CountryCode = country.Code</t>
        </is>
      </c>
      <c r="H95" s="10" t="inlineStr">
        <is>
          <t>SELECT c.Code 
FROM country c 
JOIN countrylanguage cl ON c.Code = cl.CountryCode 
WHERE cl.Language = 'Spanish' 
ORDER BY cl.Percentage DESC 
LIMIT 1;</t>
        </is>
      </c>
      <c r="I95" s="10" t="inlineStr">
        <is>
          <t>SELECT CountryCode ,  max(Percentage) FROM countrylanguage WHERE LANGUAGE  =  "Spanish" GROUP BY CountryCode</t>
        </is>
      </c>
      <c r="J95" s="10" t="inlineStr">
        <is>
          <t>ok</t>
        </is>
      </c>
      <c r="K95" s="10" t="inlineStr">
        <is>
          <t>Chọn sai bảng</t>
        </is>
      </c>
      <c r="L95" s="11" t="n"/>
      <c r="M95" s="10">
        <f>IF(L95="","",IF(L95=K95,"Có","Không"))</f>
        <v/>
      </c>
      <c r="N95" s="11" t="n"/>
      <c r="O95" s="11" t="n"/>
      <c r="P95" s="11" t="n"/>
    </row>
    <row r="96" ht="150" customHeight="1">
      <c r="A96" s="10" t="n">
        <v>95</v>
      </c>
      <c r="B96" s="10" t="inlineStr">
        <is>
          <t>C</t>
        </is>
      </c>
      <c r="C96" s="10" t="inlineStr">
        <is>
          <t>ViSpider</t>
        </is>
      </c>
      <c r="D96" s="10" t="inlineStr">
        <is>
          <t>Qwen2.5-Coder-7B / full</t>
        </is>
      </c>
      <c r="E96" s="10" t="inlineStr">
        <is>
          <t>Trả về các mã quốc gia cho những quốc gia mà Tây Ban Nha là ngôn ngữ phổ biến nhất.</t>
        </is>
      </c>
      <c r="F96" s="10" t="inlineStr"/>
      <c r="G96" s="10" t="inlineStr">
        <is>
          <t>Table: city (Thành Phố)
  - ID INTEGER | alias: Mã Thành Phố, Mã TP, ID Thành Phố | values: 129, 1, 2 | -- Mã duy nhất xác định mỗi thành phố.
  - CountryCode char(3) | alias: Mã Quốc Gia, Mã QG, Mã | values: ABW, AFG, AGO | -- Mã quốc gia mà thành phố thuộc về.
Table: country (Quốc gia)
  - Code char(3) | alias: Mã quốc gia, Mã, Ký hiệu | values: ABW, AFG, AGO | -- Mã đại diện cho quốc gia (ví dụ: ABW, AFG, AGO)
  - Name char(52) | alias: Tên quốc gia, Tên gọi, Tên chính thức | values: Aruba, Afghanistan, Angola | -- Tên đầy đủ của quốc gia (ví dụ: Aruba, Afghanistan, Angola)
  - Population INTEGER | alias: Dân số, Số dân, Người dân | values: 103000, 22720000, 12878000 | -- Số dân của quốc gia (ví dụ: 103000, 22720000, 12878000)
  - LocalName char(45) | alias: Tên địa phương, Tên bản địa, Tên dân gian | values: Aruba, Afganistan/Afqanestan, Angola | -- Tên địa phương hoặc tên dân gian của quốc gia (ví dụ: Aruba, Afganistan/Afqanestan, Angola)
  - Code2 char(2) | alias: Mã quốc gia, Mã hai ký tự, Mã ISO | values: AW, AF, AO | -- Mã hai ký tự đại diện cho quốc gia
Table: countrylanguage (Ngôn_ngữ_quốc_gia)
  - CountryCode char(3) | alias: Mã_quốc_gia, Mã_NQ, Mã_QG | values: ABW, AFG, AGO | -- Mã ký hiệu của quốc gia
  - Language char(30) | alias: Ngôn_ngữ, Tiếng_nói, Ngữ_lý | values: Dutch, English, Papiamento | -- Tên của ngôn ngữ được sử dụng trong quốc gia
  - IsOfficial TEXT | alias: Là_ngôn_ngữ_chính_thức, Chính_thức, Được_dùng | values: T, F | -- Xác định liệu ngôn ngữ này có phải là ngôn ngữ chính thức hay không
  - Percentage float(4,1) | alias: Tỷ_lệ_sử_dụng, Phần_tỷ, Số_lượng | values: 5.3, 9.5, 76.7 | -- Tỷ lệ phần trăm người sử dụng ngôn ngữ này trong dân số
Foreign keys:
  city.CountryCode = country.Code
  countrylanguage.CountryCode = country.Code</t>
        </is>
      </c>
      <c r="H96" s="10" t="inlineStr">
        <is>
          <t>SELECT c.Code
FROM country c
JOIN countrylanguage cl ON c.Code = cl.CountryCode
WHERE cl.Language = 'Spanish' AND cl.Percentage = (SELECT MAX(Percentage) FROM countrylanguage WHERE Language = 'Spanish');</t>
        </is>
      </c>
      <c r="I96" s="10" t="inlineStr">
        <is>
          <t>SELECT CountryCode ,  max(Percentage) FROM countrylanguage WHERE LANGUAGE  =  "Spanish" GROUP BY CountryCode</t>
        </is>
      </c>
      <c r="J96" s="10" t="inlineStr">
        <is>
          <t>ok</t>
        </is>
      </c>
      <c r="K96" s="10" t="inlineStr">
        <is>
          <t>Chọn sai bảng</t>
        </is>
      </c>
      <c r="L96" s="11" t="n"/>
      <c r="M96" s="10">
        <f>IF(L96="","",IF(L96=K96,"Có","Không"))</f>
        <v/>
      </c>
      <c r="N96" s="11" t="n"/>
      <c r="O96" s="11" t="n"/>
      <c r="P96" s="11" t="n"/>
    </row>
    <row r="97" ht="150" customHeight="1">
      <c r="A97" s="10" t="n">
        <v>96</v>
      </c>
      <c r="B97" s="10" t="inlineStr">
        <is>
          <t>C</t>
        </is>
      </c>
      <c r="C97" s="10" t="inlineStr">
        <is>
          <t>ViSpider</t>
        </is>
      </c>
      <c r="D97" s="10" t="inlineStr">
        <is>
          <t>Qwen2.5-Coder-7B / full</t>
        </is>
      </c>
      <c r="E97" s="10" t="inlineStr">
        <is>
          <t>Tên của nhạc trưởng đã làm việc lâu nhất là gì?</t>
        </is>
      </c>
      <c r="F97" s="10" t="inlineStr"/>
      <c r="G97" s="10" t="inlineStr">
        <is>
          <t>Table: conductor (Nhạc Đạo)
  - Conductor_ID INT | alias: Mã Nhạc Đạo, ID Nhạc Đạo, Số Nhạc Đạo | values: 1, 2, 3 | -- Mã duy nhất xác định mỗi nhạc đạo.
  - Name TEXT | alias: Tên, Họ và Tên, Tên đầy đủ | values: Antal Doráti, Igor Stravinsky, Colin Davis | -- Tên đầy đủ của nhạc đạo.
  - Age INT | alias: Tuổi, Tuổi tác, Lứa tuổi | values: 40, 41, 42 | -- Tuổi của nhạc đạo khi ghi nhận.
  - Nationality TEXT | alias: Quốc tịch, Quốc gia, Nước | values: USA, UK, France | -- Quốc tịch của nhạc đạo.
  - Year_of_Work INT | alias: Năm làm việc, Năm hoạt động, Năm công tác | values: 10, 11, 6 | -- Năm bắt đầu công việc của nhạc đạo.
Table: orchestra (Nhạc đoàn)
  - Orchestra_ID INT | alias: Mã nhạc đoàn, ID nhạc đoàn, Số hiệu nhạc đoàn | values: 1, 2, 3 | -- Mã duy nhất xác định mỗi nhạc đoàn
  - Orchestra TEXT | alias: Tên nhạc đoàn, Tên gọi nhạc đoàn, Tiêu đề nhạc đoàn | values: London Symphony Orchestra, Columbia Symphony Orchestra, Royal Concertgebouw Orchestra | -- Tên đầy đủ của nhạc đoàn
  - Conductor_ID INT | alias: Mã chỉ huy, ID chỉ huy, Số hiệu chỉ huy | values: 1, 2, 3 | -- Mã duy nhất xác định mỗi chỉ huy nhạc
  - Record_Company TEXT | alias: Công ty thu âm, Nhà sản xuất, Nhà thu âm | values: Mercury Records, Columbia Masterworks, Philips | -- Tên công ty hoặc nhà sản xuất album của nhạc đoàn
  - Year_of_Founded REAL | alias: Năm thành lập, Năm thành lập, Năm thành lập nhạc đoàn | values: 2003.0, 2009.0, 2008.0 | -- Năm mà nhạc đoàn được thành lập
Foreign keys:
  orchestra.Conductor_ID = conductor.Conductor_ID</t>
        </is>
      </c>
      <c r="H97" s="10" t="inlineStr">
        <is>
          <t>SELECT conductor.Name 
FROM conductor 
JOIN orchestra ON conductor.Conductor_ID = orchestra.Conductor_ID 
ORDER BY orchestra.Year_of_Founded ASC 
LIMIT 1;</t>
        </is>
      </c>
      <c r="I97" s="10" t="inlineStr">
        <is>
          <t>SELECT Name FROM conductor ORDER BY Year_of_Work DESC LIMIT 1</t>
        </is>
      </c>
      <c r="J97" s="10" t="inlineStr">
        <is>
          <t>ok</t>
        </is>
      </c>
      <c r="K97" s="10" t="inlineStr">
        <is>
          <t>Chọn sai bảng</t>
        </is>
      </c>
      <c r="L97" s="11" t="n"/>
      <c r="M97" s="10">
        <f>IF(L97="","",IF(L97=K97,"Có","Không"))</f>
        <v/>
      </c>
      <c r="N97" s="11" t="n"/>
      <c r="O97" s="11" t="n"/>
      <c r="P97" s="11" t="n"/>
    </row>
    <row r="98" ht="150" customHeight="1">
      <c r="A98" s="10" t="n">
        <v>97</v>
      </c>
      <c r="B98" s="10" t="inlineStr">
        <is>
          <t>C</t>
        </is>
      </c>
      <c r="C98" s="10" t="inlineStr">
        <is>
          <t>ViSpider</t>
        </is>
      </c>
      <c r="D98" s="10" t="inlineStr">
        <is>
          <t>Qwen2.5-Coder-7B / full</t>
        </is>
      </c>
      <c r="E98" s="10" t="inlineStr">
        <is>
          <t>Các id của những học sinh nào có cả bạn bè và được yêu thích?</t>
        </is>
      </c>
      <c r="F98" s="10" t="inlineStr"/>
      <c r="G98" s="10"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8" s="10" t="inlineStr">
        <is>
          <t>SELECT student_id FROM Friend INTERSECT SELECT student_id FROM Likes;</t>
        </is>
      </c>
      <c r="I98" s="10" t="inlineStr">
        <is>
          <t>SELECT student_id FROM Friend INTERSECT SELECT liked_id FROM Likes</t>
        </is>
      </c>
      <c r="J98" s="10" t="inlineStr">
        <is>
          <t>ok</t>
        </is>
      </c>
      <c r="K98" s="10" t="inlineStr">
        <is>
          <t>Sai cột</t>
        </is>
      </c>
      <c r="L98" s="11" t="n"/>
      <c r="M98" s="10">
        <f>IF(L98="","",IF(L98=K98,"Có","Không"))</f>
        <v/>
      </c>
      <c r="N98" s="11" t="n"/>
      <c r="O98" s="11" t="n"/>
      <c r="P98" s="11" t="n"/>
    </row>
    <row r="99" ht="150" customHeight="1">
      <c r="A99" s="10" t="n">
        <v>98</v>
      </c>
      <c r="B99" s="10" t="inlineStr">
        <is>
          <t>C</t>
        </is>
      </c>
      <c r="C99" s="10" t="inlineStr">
        <is>
          <t>ViSpider</t>
        </is>
      </c>
      <c r="D99" s="10" t="inlineStr">
        <is>
          <t>Qwen2.5-Coder-7B / full</t>
        </is>
      </c>
      <c r="E99" s="10" t="inlineStr">
        <is>
          <t>Hiển thị tên của các học sinh có lượt thích và số lượt thích cho mỗi học sinh.</t>
        </is>
      </c>
      <c r="F99" s="10" t="inlineStr"/>
      <c r="G99" s="10" t="inlineStr">
        <is>
          <t>Table: Friend (Danh sach bạn bè)
  - student_id INT | alias: Mã sinh viên, ID sinh viên, Số sinh viên | values: 1101, 1247, 1304 | -- Mã duy nhất xác định một sinh viên.
  - friend_id INT | alias: Mã bạn bè, ID bạn bè, Số bạn bè | values: 1381, 1689, 1709 | -- Mã duy nhất xác định một bạn bè của sinh viên.
Table: Highschooler (Học sinh)
  - ID INT | alias: Mã học sinh, Mã HS, ID HS | values: 1025, 1101, 1247 | -- Mã định danh duy nhất của mỗi học sinh
  - name TEXT | alias: Tên, Họ và tên, Tên đầy đủ | values: Jordan, Gabriel, Tiffany | -- Tên đầy đủ của học sinh
  - grade INT | alias: Lớp, Khóa học, Lớp học | values: 9, 10, 11 | -- Lớp học mà học sinh đang theo học
Table: Likes (Yêu Thích)
  - student_id INT | alias: Mã Học Sinh, ID Học Sinh, Số Học Bạ | values: 1025, 1247, 1316 | -- Mã duy nhất xác định học sinh trong hệ thống.
  - liked_id INT | alias: Mã Nội Dung Yêu Thích, ID Nội Dung, Số ID | values: 1709, 1689, 1247 | -- Mã duy nhất xác định nội dung được yêu thích trong hệ thống.
Foreign keys:
  Friend.student_id = Highschooler.ID
  Friend.friend_id = Highschooler.ID
  Likes.student_id = Highschooler.ID
  Likes.liked_id = Highschooler.ID</t>
        </is>
      </c>
      <c r="H99" s="10" t="inlineStr">
        <is>
          <t>SELECT H1.name AS StudentName, COUNT(L.student_id) AS LikeCount
FROM Highschooler H1
LEFT JOIN Likes L ON H1.ID = L.student_id
GROUP BY H1.name;</t>
        </is>
      </c>
      <c r="I99" s="10" t="inlineStr">
        <is>
          <t>SELECT T2.name ,  count(*) FROM Likes AS T1 JOIN Highschooler AS T2 ON T1.student_id  =  T2.id GROUP BY T1.student_id</t>
        </is>
      </c>
      <c r="J99" s="10" t="inlineStr">
        <is>
          <t>ok</t>
        </is>
      </c>
      <c r="K99" s="10" t="inlineStr">
        <is>
          <t>Sai hàm gộp hoặc GROUP BY</t>
        </is>
      </c>
      <c r="L99" s="11" t="n"/>
      <c r="M99" s="10">
        <f>IF(L99="","",IF(L99=K99,"Có","Không"))</f>
        <v/>
      </c>
      <c r="N99" s="11" t="n"/>
      <c r="O99" s="11" t="n"/>
      <c r="P99" s="11" t="n"/>
    </row>
    <row r="100" ht="150" customHeight="1">
      <c r="A100" s="10" t="n">
        <v>99</v>
      </c>
      <c r="B100" s="10" t="inlineStr">
        <is>
          <t>C</t>
        </is>
      </c>
      <c r="C100" s="10" t="inlineStr">
        <is>
          <t>ViSpider</t>
        </is>
      </c>
      <c r="D100" s="10" t="inlineStr">
        <is>
          <t>Qwen2.5-Coder-7B / full</t>
        </is>
      </c>
      <c r="E100" s="10" t="inlineStr">
        <is>
          <t>Những chuyên gia nào đã thực hiện ít nhất hai loại treatment? Hãy liệt kê professional id và số điện thoại di động.</t>
        </is>
      </c>
      <c r="F100" s="10" t="inlineStr"/>
      <c r="G100" s="10" t="inlineStr">
        <is>
          <t>Table: Professionals (Người chuyên nghiệp)
  - professional_id INTEGER | alias: Mã chuyên viên, ID chuyên viên, Mã nhân viên | values: 1, 2, 3 | -- Mã duy nhất để xác định mỗi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 home_phone VARCHAR(20) | alias: Số điện thoại nhà, Số điện thoại cố định, Số điện thoại gia đình | values: +71(6)2898266914, +02(1)0259033559, 325-155-0801x7005 | -- Số điện thoại nhà của chuyên viên.
  - cell_number VARCHAR(20) | alias: Số điện thoại di động, Số điện thoại di động, Số điện thoại di dộng | values: (275)939-2435x80863, 889-940-2676, (369)908-7311x065 | -- Số điện thoại di động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Foreign keys:
  Treatments.dog_id = Dogs.dog_id
  Treatments.professional_id = Professionals.professional_id
  Treatments.treatment_type_code = Treatment_Types.treatment_type_code</t>
        </is>
      </c>
      <c r="H100" s="10" t="inlineStr">
        <is>
          <t>SELECT p.professional_id, p.cell_number
FROM Professionals p
JOIN Treatments t ON p.professional_id = t.professional_id
GROUP BY p.professional_id, p.cell_number
HAVING COUNT(DISTINCT t.treatment_type_code) &gt;= 2;</t>
        </is>
      </c>
      <c r="I100" s="10" t="inlineStr">
        <is>
          <t>SELECT T1.professional_id ,  T1.cell_number FROM Professionals AS T1 JOIN Treatments AS T2 ON T1.professional_id  =  T2.professional_id GROUP BY T1.professional_id HAVING count(*)  &gt;=  2</t>
        </is>
      </c>
      <c r="J100" s="10" t="inlineStr">
        <is>
          <t>ok</t>
        </is>
      </c>
      <c r="K100" s="10" t="inlineStr">
        <is>
          <t>Sai cột</t>
        </is>
      </c>
      <c r="L100" s="11" t="n"/>
      <c r="M100" s="10">
        <f>IF(L100="","",IF(L100=K100,"Có","Không"))</f>
        <v/>
      </c>
      <c r="N100" s="11" t="n"/>
      <c r="O100" s="11" t="n"/>
      <c r="P100" s="11" t="n"/>
    </row>
    <row r="101" ht="150" customHeight="1">
      <c r="A101" s="10" t="n">
        <v>100</v>
      </c>
      <c r="B101" s="10" t="inlineStr">
        <is>
          <t>C</t>
        </is>
      </c>
      <c r="C101" s="10" t="inlineStr">
        <is>
          <t>ViSpider</t>
        </is>
      </c>
      <c r="D101" s="10" t="inlineStr">
        <is>
          <t>Qwen2.5-Coder-7B / full</t>
        </is>
      </c>
      <c r="E101" s="10" t="inlineStr">
        <is>
          <t>Tên và họ của các chuyên gia đã thực hiện các treatment với cost thấp hơn mức trung bình là gì?</t>
        </is>
      </c>
      <c r="F101" s="10" t="inlineStr"/>
      <c r="G101" s="10" t="inlineStr">
        <is>
          <t>Table: Professionals (Người chuyên nghiệp)
  - professional_id INTEGER | alias: Mã chuyên viên, ID chuyên viên, Mã nhân viên | values: 1, 2, 3 | -- Mã duy nhất để xác định mỗi chuyên viên.
  - first_name VARCHAR(50) | alias: Họ, Tên đệm, Tên đầu | values: Taryn, Jayson, Olaf | -- Tên đệm hoặc tên đầu của chuyên viên.
  - street VARCHAR(50) | alias: Địa chỉ, Địa chỉ đường, Địa chỉ nhà | values: 6915 Oberbrunner Point Suite 491
Gleasonville, LA , 88665 Terence Lodge Apt. 904
Corneliusfort, NC 194, 68589 Bradly Manor
New Audrey, IN 91497 | -- Địa chỉ cụ thể của chuyên viên.
  - last_name VARCHAR(50) | alias: Tên, Tên họ, Tên cuối | values: Braun, Ullrich, Watsica | -- Tên họ của chuyên viên.
Table: Treatment_Types (Loại_Chữa_Bệnh)
  - treatment_type_code VARCHAR(10) | alias: Mã_Loại_Chữa_Bệnh, Mã Loại Chữa Bệnh, Mã Loại Trị Liệu | values: EXAM, VAC, WALK | -- Mã đại diện cho loại hình điều trị.
  - treatment_type_description VARCHAR(80) | alias: Miêu_Tả_Loại_Chữa_Bệnh, Miêu tả Loại Chữa Bệnh, Miêu tả Loại Trị Liệu | values: Physical examination, Vaccination, Take for a Walk | -- Miêu tả chi tiết về loại hình điều trị.
Table: Treatments (Chữa trị)
  - treatment_id INTEGER | alias: Mã điều trị, ID điều trị, Số điều trị | values: 1, 2, 3 | -- Mã duy nhất để xác định mỗi lần điều trị.
  - dog_id INTEGER | alias: Mã chó, ID chó, Số chó | values: 14, 4, 2 | -- Mã duy nhất để xác định mỗi con chó được điều trị.
  - professional_id INTEGER | alias: Mã nhân viên y tế, ID nhân viên, Số nhân viên | values: 9, 10, 4 | -- Mã duy nhất để xác định nhân viên y tế thực hiện điều trị.
  - treatment_type_code VARCHAR(10) | alias: Loại điều trị, Kiểu điều trị, Phương pháp điều trị | values: WALK, VAC, EXAM | -- Mã đại diện cho loại điều trị được thực hiện cho chó.
  - date_of_treatment DATETIME | alias: Ngày điều trị, Ngày thực hiện, Ngày khám | values: 2018-03-19 04:39:54, 2018-03-15 20:25:34, 2018-03-08 05:26:23 | -- Ngày khi điều trị được thực hiện cho chó.
  - cost_of_treatment DECIMAL(19,4) | alias: Chi phí điều trị, Giá trị điều trị, Phí điều trị | values: 567, 147, 429 | -- Chi phí tổng cộng cho dịch vụ điều trị được thực hiện.
Foreign keys:
  Treatments.dog_id = Dogs.dog_id
  Treatments.professional_id = Professionals.professional_id
  Treatments.treatment_type_code = Treatment_Types.treatment_type_code</t>
        </is>
      </c>
      <c r="H101" s="10" t="inlineStr">
        <is>
          <t>SELECT p.first_name, p.last_name
FROM Professionals p
JOIN Treatments t ON p.professional_id = t.professional_id
WHERE t.cost_of_treatment &lt; (SELECT AVG(cost_of_treatment) FROM Treatments);</t>
        </is>
      </c>
      <c r="I101" s="10" t="inlineStr">
        <is>
          <t>SELECT DISTINCT T1.first_name ,  T1.last_name FROM Professionals AS T1 JOIN Treatments AS T2 WHERE cost_of_treatment  &lt;  ( SELECT avg(cost_of_treatment) FROM Treatments )</t>
        </is>
      </c>
      <c r="J101" s="10" t="inlineStr">
        <is>
          <t>ok</t>
        </is>
      </c>
      <c r="K101" s="10" t="inlineStr">
        <is>
          <t>Sai cột</t>
        </is>
      </c>
      <c r="L101" s="11" t="n"/>
      <c r="M101" s="10">
        <f>IF(L101="","",IF(L101=K101,"Có","Không"))</f>
        <v/>
      </c>
      <c r="N101" s="11" t="n"/>
      <c r="O101" s="11" t="n"/>
      <c r="P101" s="11" t="n"/>
    </row>
    <row r="102" ht="150" customHeight="1">
      <c r="A102" s="10" t="n">
        <v>101</v>
      </c>
      <c r="B102" s="10" t="inlineStr">
        <is>
          <t>C</t>
        </is>
      </c>
      <c r="C102" s="10" t="inlineStr">
        <is>
          <t>ViBIRD</t>
        </is>
      </c>
      <c r="D102" s="10" t="inlineStr">
        <is>
          <t>Qwen2.5-Coder-7B / full</t>
        </is>
      </c>
      <c r="E102" s="10" t="inlineStr">
        <is>
          <t>Xếp hạng các trường theo điểm trung bình môn Writing, với điều kiện điểm lớn hơn 499, đồng thời cho biết số charter của chúng.</t>
        </is>
      </c>
      <c r="F102" s="10" t="inlineStr">
        <is>
          <t>Số charter hợp lệ có nghĩa là số không null</t>
        </is>
      </c>
      <c r="G102" s="10" t="inlineStr">
        <is>
          <t>Table: satscores (Kết quả kỳ thi SAT)
  - cds TEXT | alias: Mã trung tâm, Mã học viện, Mã cơ sở giáo dục | values: 01100170000000, 01100170109835, 01100170112607 | -- Mã duy nhất của trung tâm hoặc cơ sở giáo dục.
  - AvgScrWrite INTEGER | alias: Điểm trung bình môn viết, Điểm môn viết, Điểm môn ngữ pháp | values: 417, 505, 395 | -- Điểm trung bình của thí sinh trong phần viết của kỳ thi SAT.
Table: schools (Các trường học)
  - CDSCode TEXT | alias: Mã CDS, Mã trường, Mã định danh | values: 01100170000000, 01100170109835, 01100170112607 | -- Mã định danh duy nhất của trường học.
  - School TEXT | alias: Tên trường, Tên trường học, Tên trường | values: FAME Public Charter, Envision Academy for Arts &amp; Technology, Aspire California College Preparatory Academy | -- Tên đầy đủ của trường học.
  - Phone TEXT | alias: Số điện thoại, Điện thoại, Số liên lạc | values: (510) 887-0152, (510) 596-8901, (510) 686-4131 | -- Số điện thoại chính của trường học.
  - Ext TEXT | alias: Phần mở rộng, Phần phụ, Phần phụ trợ | values: 130, 1240, 1200 | -- Phần mở rộng số điện thoại nếu có.
  - Website TEXT | alias: Trang web, Trang mạng, Trang thông tin | values: www.acoe.org, www.envisionacademy.org/, www.aspirepublicschools.org | -- Địa chỉ trang web chính thức của trường học.
  - Charter INTEGER | alias: Trường công lập, Trường công, Trường nhà nước | values: 1, 0 | -- Biểu thị trường học là trường công lập (1) hay tư thục (0).
  - CharterNum TEXT | alias: Số chứng nhận, Số cấp phép, Số chứng nhận hoạt động | values: 0728, 0811, 1049 | -- Số chứng nhận hoạt động hoặc cấp phép của trường học.
  - SOC TEXT | alias: Mã SOC, Mã loại trường, Mã phân loại | values: 65, 66, 60 | -- Mã phân loại loại trường học.
  - SOCType TEXT | alias: Kiểu mã SOC, Kiểu loại trường, Kiểu phân loại | values: K-12 Schools (Public), High Schools (Public), Elementary Schools (Public) | -- Kiểu mã phân loại loại trường học.
  - EILCode TEXT | alias: Mã EIL, Mã tổ chức, Mã EIL | values: ELEMHIGH, HS, ELEM | -- Mã tổ chức giáo dục của trường.
Foreign keys:
  satscores.cds = schools.CDSCode</t>
        </is>
      </c>
      <c r="H102" s="10" t="inlineStr">
        <is>
          <t>SELECT 
    s.School, 
    ss.AvgScrWrite, 
    COUNT(ss.cds) AS CharterCount
FROM 
    satscores ss
JOIN 
    schools s ON ss.cds = s.CDSCode
WHERE 
    ss.AvgScrWrite &gt; 499 AND s.Charter IS NOT NULL
GROUP BY 
    s.School, 
    ss.AvgScrWrite;</t>
        </is>
      </c>
      <c r="I102" s="10" t="inlineStr">
        <is>
          <t>SELECT CharterNum, AvgScrWrite, RANK() OVER (ORDER BY AvgScrWrite DESC) AS WritingScoreRank FROM schools AS T1  INNER JOIN satscores AS T2 ON T1.CDSCode = T2.cds WHERE T2.AvgScrWrite &gt; 499 AND CharterNum is not null</t>
        </is>
      </c>
      <c r="J102" s="10" t="inlineStr">
        <is>
          <t>ok</t>
        </is>
      </c>
      <c r="K102" s="10" t="inlineStr">
        <is>
          <t>Sai cột</t>
        </is>
      </c>
      <c r="L102" s="11" t="n"/>
      <c r="M102" s="10">
        <f>IF(L102="","",IF(L102=K102,"Có","Không"))</f>
        <v/>
      </c>
      <c r="N102" s="11" t="n"/>
      <c r="O102" s="11" t="n"/>
      <c r="P102" s="11" t="n"/>
    </row>
    <row r="103" ht="150" customHeight="1">
      <c r="A103" s="10" t="n">
        <v>102</v>
      </c>
      <c r="B103" s="10" t="inlineStr">
        <is>
          <t>C</t>
        </is>
      </c>
      <c r="C103" s="10" t="inlineStr">
        <is>
          <t>ViBIRD</t>
        </is>
      </c>
      <c r="D103" s="10" t="inlineStr">
        <is>
          <t>Qwen2.5-Coder-7B / full</t>
        </is>
      </c>
      <c r="E103" s="10" t="inlineStr">
        <is>
          <t>Có bao nhiêu thí sinh tham gia kỳ thi tại các trường có địa chỉ thư từ ở Fresno?</t>
        </is>
      </c>
      <c r="F103" s="10" t="inlineStr">
        <is>
          <t>(no evidence)</t>
        </is>
      </c>
      <c r="G103" s="10" t="inlineStr">
        <is>
          <t>Table: satscores (Kết quả kỳ thi SAT)
  - cds TEXT | alias: Mã trung tâm, Mã học viện, Mã cơ sở giáo dục | values: 01100170000000, 01100170109835, 01100170112607 | -- Mã duy nhất của trung tâm hoặc cơ sở giáo dục.
  - sname TEXT | alias: Tên trường, Tên học viện, Tên trường học | values: FAME Public Charter, Envision Academy for Arts &amp; Technology, Aspire California College Preparatory Academy | -- Tên của trường hoặc học viện tham gia kỳ thi SAT.
  - dname TEXT | alias: Tên đơn vị hành chính, Tên quận, Tên thành phố | values: Alameda County Office of Education, Alameda Unified, Albany City Unified | -- Tên đơn vị hành chính nơi trường hoặc học viện nằm.
  - NumTstTakr INTEGER | alias: Số lượng thí sinh tham gia kỳ thi, Số thí sinh, Số người dự thi | values: 88, 17, 71 | -- Số lượng thí sinh đã tham gia kỳ thi SAT.
  - NumGE1500 INTEGER | alias: Số lượng thí sinh đạt ít nhất 1500 điểm, Số thí sinh 1500+, Số người đạt 1500+ | values: 14, 9, 5 | -- Số lượng thí sinh đạt tổng điểm ít nhất 1500 trong kỳ thi SAT.
Table: schools (Các trường học)
  - CDSCode TEXT | alias: Mã CDS, Mã trường, Mã định danh | values: 01100170000000, 01100170109835, 01100170112607 | -- Mã định danh duy nhất của trường học.
  - Street TEXT | alias: Địa chỉ, Địa chỉ trường, Địa điểm | values: 313 West Winton Avenue, 39899 Balentine Drive, Suite 335, 1515 Webster Street | -- Địa chỉ cụ thể của trường học.
  - MailStreet TEXT | alias: Địa chỉ thư từ, Địa chỉ gửi thư, Địa chỉ nhận thư | values: 313 West Winton Avenue, 39899 Balentine Drive, Suite 335, 1515 Webster Street | -- Địa chỉ cụ thể để gửi thư cho trường học.
  - MailStrAbr TEXT | alias: Tóm tắt địa chỉ thư từ, Địa chỉ ngắn gọn, Địa chỉ thu gọn | values: 313 West Winton Ave., 39899 Balentine Dr., Ste. 335, 1515 Webster St. | -- Địa chỉ ngắn gọn của trường học được sử dụng trong thư từ.
  - MailCity TEXT | alias: Thành phố, Thành phố nằm ở, Thành phố đặt trụ sở | values: Hayward, Newark, Oakland | -- Thành phố nơi trường học có trụ sở.
  - MailZip TEXT | alias: Mã bưu chính, Mã ZIP, Mã bưu điện | values: 94544-1136, 94560-5359, 94612 | -- Mã bưu chính của địa chỉ thư từ của trường học.
  - MailState TEXT | alias: Tỉnh/Thành phố, Tỉnh, Thành phố | values: CA | -- Tỉnh hoặc thành phố nơi trường học nằm.
Foreign keys:
  satscores.cds = schools.CDSCode</t>
        </is>
      </c>
      <c r="H103" s="10" t="inlineStr">
        <is>
          <t>SELECT SUM(s.NumTstTakr) AS TotalTestTakers
FROM satscores s
JOIN schools sc ON s.cds = sc.CDSCode
WHERE sc.MailCity = 'Fresno';</t>
        </is>
      </c>
      <c r="I103" s="10" t="inlineStr">
        <is>
          <t>SELECT T1.NumTstTakr FROM satscores AS T1 INNER JOIN schools AS T2 ON T1.cds = T2.CDSCode WHERE T2.MailCity = 'Fresno'</t>
        </is>
      </c>
      <c r="J103" s="10" t="inlineStr">
        <is>
          <t>ok</t>
        </is>
      </c>
      <c r="K103" s="10" t="inlineStr">
        <is>
          <t>Sai hàm gộp hoặc GROUP BY</t>
        </is>
      </c>
      <c r="L103" s="11" t="n"/>
      <c r="M103" s="10">
        <f>IF(L103="","",IF(L103=K103,"Có","Không"))</f>
        <v/>
      </c>
      <c r="N103" s="11" t="n"/>
      <c r="O103" s="11" t="n"/>
      <c r="P103" s="11" t="n"/>
    </row>
    <row r="104" ht="150" customHeight="1">
      <c r="A104" s="10" t="n">
        <v>103</v>
      </c>
      <c r="B104" s="10" t="inlineStr">
        <is>
          <t>C</t>
        </is>
      </c>
      <c r="C104" s="10" t="inlineStr">
        <is>
          <t>ViBIRD</t>
        </is>
      </c>
      <c r="D104" s="10" t="inlineStr">
        <is>
          <t>Qwen2.5-Coder-7B / full</t>
        </is>
      </c>
      <c r="E104" s="10" t="inlineStr">
        <is>
          <t>Molecule TR000 có phải là chất gây ung thư hay không?</t>
        </is>
      </c>
      <c r="F104" s="10" t="inlineStr">
        <is>
          <t>label = '+' nghĩa là các phân tử là chất gây ung thư; label = '-' nghĩa là các phân tử không phải là chất gây ung thư</t>
        </is>
      </c>
      <c r="G104" s="10" t="inlineStr">
        <is>
          <t>Table: atom (Cơ Sở Nguyên Tử)
  - atom_id TEXT | alias: Mã Nguyên Tử, Mã Nguyên tử, ID Nguyên tử | values: TR000_1, TR000_2, TR000_3 | -- Mã duy nhất xác định mỗi nguyên tử.
  - molecule_id TEXT | alias: Mã Mô Phỏng, Mã Mô phỏng, ID Mô phỏng | values: TR000, TR001, TR002 | -- Mã duy nhất xác định mô phỏng phân tử chứa nguyên tử này.
  - element TEXT | alias: Phân Tích Hóa Học, Phân tích hóa học, Loại nguyên tử | values: cl, c, h | -- Tên hoặc ký hiệu hóa học của nguyên tố trong nguyên tử.
Table: bond (Bonds)
  - bond_id TEXT | alias: MãBond, IDBond, MãBond | values: TR000_1_2, TR000_2_3, TR000_2_4 | -- Mã duy nhất xác định mỗi liên kết hóa học.
  - molecule_id TEXT | alias: MãChấtHợp, IDChấtHợp, MãPhân tử | values: TR000, TR001, TR002 | -- Mã duy nhất xác định mỗi chất hợp trong phân tích.
  - bond_type TEXT | alias: LoạiLiênKết, KiểuLiênKết, LoạiBond | values: -, =, # | -- Kiểu của liên kết hóa học giữa các nguyên tử trong phân tử.
Table: connected (Bonds_and_Atoms)
  - atom_id TEXT | alias: Mã_Atom_1, ID_Atom_1, Atom_ID_1 | values: TR000_1, TR000_2, TR000_3 | -- Mã duy nhất của atom đầu tiên trong liên kết hóa học.
  - atom_id2 TEXT | alias: Mã_Atom_2, ID_Atom_2, Atom_ID_2 | values: TR000_2, TR000_1, TR000_3 | -- Mã duy nhất của atom thứ hai trong liên kết hóa học.
  - bond_id TEXT | alias: Mã_Liên_Kết, ID_Liên_Kết, Bond_ID | values: TR000_1_2, TR000_2_3, TR000_2_4 | -- Mã duy nhất của liên kết hóa học giữa hai atom.
Table: molecule (Bản ghi phân tử)
  - molecule_id TEXT | alias: Mã phân tử, ID phân tử, Số hiệu phân tử | values: TR000, TR001, TR002 | -- Mã duy nhất để xác định phân tử.
  - label TEXT | alias: Nhãn, Biến thể, Tâm trạng | values: +, - | -- Biểu thị trạng thái hoặc đặc điểm của phân tử.
Foreign keys:
  atom.molecule_id = molecule.molecule_id
  bond.molecule_id = molecule.molecule_id
  connected.atom_id = atom.atom_id
  connected.atom_id2 = atom.atom_id
  connected.bond_id = bond.bond_id</t>
        </is>
      </c>
      <c r="H104" s="10" t="inlineStr">
        <is>
          <t>SELECT CASE WHEN label = '+' THEN 'Có' ELSE 'Không' END AS is_cancerous FROM molecule WHERE molecule_id = 'TR000';</t>
        </is>
      </c>
      <c r="I104" s="10" t="inlineStr">
        <is>
          <t>SELECT label FROM molecule AS T WHERE T.molecule_id = 'TR000'</t>
        </is>
      </c>
      <c r="J104" s="10" t="inlineStr">
        <is>
          <t>ok</t>
        </is>
      </c>
      <c r="K104" s="10" t="inlineStr">
        <is>
          <t>Khác</t>
        </is>
      </c>
      <c r="L104" s="11" t="n"/>
      <c r="M104" s="10">
        <f>IF(L104="","",IF(L104=K104,"Có","Không"))</f>
        <v/>
      </c>
      <c r="N104" s="11" t="n"/>
      <c r="O104" s="11" t="n"/>
      <c r="P104" s="11" t="n"/>
    </row>
    <row r="105" ht="150" customHeight="1">
      <c r="A105" s="10" t="n">
        <v>104</v>
      </c>
      <c r="B105" s="10" t="inlineStr">
        <is>
          <t>C</t>
        </is>
      </c>
      <c r="C105" s="10" t="inlineStr">
        <is>
          <t>ViBIRD</t>
        </is>
      </c>
      <c r="D105" s="10" t="inlineStr">
        <is>
          <t>Qwen2.5-Coder-7B / full</t>
        </is>
      </c>
      <c r="E105" s="10" t="inlineStr">
        <is>
          <t>Chi phí mana của các thẻ có layout normal, frameVersion 2003, borderColor màu đen và có sẵn cả ở paper và mtgo là bao nhiêu?</t>
        </is>
      </c>
      <c r="F105" s="10" t="inlineStr">
        <is>
          <t>có sẵn ở paper và mtgo ám chỉ availability = 'mtgo,paper'; frameVersion = 2003; borderColor = 'black'</t>
        </is>
      </c>
      <c r="G105" s="10"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borderColor TEXT | alias: Màu Rìa, Màu Rìm, Màu Gian | values: black, white, borderless | -- Màu sắc của rìa hoặc viền của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frameVersion TEXT | alias: Phiên_bản_khung, Phiên_bản, Khung_thẻ | values: 2003, 1993, 2015 | -- Phiên bản khung của thẻ.
  - manaCost TEXT | alias: Chi_phí_Mana, Chi_phí, Tốn_man | values: {5}{W}{W}, {4}{W}, {3}{W} | -- Chi phí mana cần thiết để sử dụng thẻ bài.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t>
        </is>
      </c>
      <c r="H105" s="10" t="inlineStr">
        <is>
          <t>SELECT convertedManaCost 
FROM cards 
WHERE availability = 'mtgo,paper' 
  AND frameVersion = '2003' 
  AND borderColor = 'black';</t>
        </is>
      </c>
      <c r="I105" s="10" t="inlineStr">
        <is>
          <t>SELECT manaCost FROM cards WHERE availability = 'mtgo,paper' AND borderColor = 'black' AND frameVersion = 2003 AND layout = 'normal'</t>
        </is>
      </c>
      <c r="J105" s="10" t="inlineStr">
        <is>
          <t>ok</t>
        </is>
      </c>
      <c r="K105" s="10" t="inlineStr">
        <is>
          <t>Sai cột</t>
        </is>
      </c>
      <c r="L105" s="11" t="n"/>
      <c r="M105" s="10">
        <f>IF(L105="","",IF(L105=K105,"Có","Không"))</f>
        <v/>
      </c>
      <c r="N105" s="11" t="n"/>
      <c r="O105" s="11" t="n"/>
      <c r="P105" s="11" t="n"/>
    </row>
    <row r="106" ht="150" customHeight="1">
      <c r="A106" s="10" t="n">
        <v>105</v>
      </c>
      <c r="B106" s="10" t="inlineStr">
        <is>
          <t>C</t>
        </is>
      </c>
      <c r="C106" s="10" t="inlineStr">
        <is>
          <t>ViBIRD</t>
        </is>
      </c>
      <c r="D106" s="10" t="inlineStr">
        <is>
          <t>Qwen2.5-Coder-7B / full</t>
        </is>
      </c>
      <c r="E106" s="10" t="inlineStr">
        <is>
          <t>Bộ bài thuộc nghệ sĩ nào có văn bản "Das perfekte Gegenmittel zu einer dichten Formation"?</t>
        </is>
      </c>
      <c r="F106" s="10" t="inlineStr">
        <is>
          <t>(no evidence)</t>
        </is>
      </c>
      <c r="G106" s="10" t="inlineStr">
        <is>
          <t>Table: cards (Thẻ Bài)
  - id INTEGER | alias: Mã Thẻ, ID, Số Thẻ | values: 41138, 1349, 23810 | -- Mã duy nhất xác định mỗi thẻ bài.
  - artist TEXT | alias: Tác Giả, Người Hoạ Tác, Nhà Thiết Kế | values: Pete Venters, Volkan Baǵa, Justin Sweet | -- Tên của người hoạ tác hoặc thiết kế thẻ bài.
  - colorIdentity TEXT | alias: Màu Nhập Thể, Màu Nhập, Màu Nhập Thể | values: W, B, U | -- Mảng màu đại diện cho thẻ bài.
  - frameVersion TEXT | alias: Phiên_bản_khung, Phiên_bản, Khung_thẻ | values: 2003, 1993, 2015 | -- Phiên bản khung của thẻ.
  - hasContentWarning INTEGER | alias: Cảnh_caution, Cảnh_caution, Nội_dung_cảnh_báo | values: 0, 1 | -- Trường hợp có cảnh báo nội dung cho thẻ này.
  - isFullArt INTEGER | alias: Có hình ảnh toàn bộ, Có hình ảnh đầy đủ, Có hình ảnh toàn diện | values: 0, 1 | -- Indicates whether the card has full artwork.
  - originalText TEXT | alias: Nội_dung, Nội dung gốc, Phát biểu | values: First strike (This creature deals combat damage before creatures without first strike.)
When Ancestor's Chosen comes into play, you gain 1 life for each card in your graveyard., Flying (This creature can't be blocked except by creatures with flying or reach.)
When Angel of Mercy comes into play, you gain 3 life., Flying (This creature can't be blocked except by creatures with flying or reach.)
When Aven Cloudchaser comes into play, destroy target enchantment. | -- Nội dung hoặc mô tả của thẻ bài.
  - rarity TEXT | alias: Kỳ_quân, Kỳ hiếm, Loại hiếm | values: uncommon, common, rare | -- Kỳ hiếm của thẻ bài.
  - scryfallIllustrationId TEXT | alias: Mã_Ảnh_Szłay_Forum, Mã_Ảnh, ID_Ảnh | values: be2f7173-c8b7-4172-a388-9b2c6b3c16e5, e4d6c53f-e936-4be8-8b70-47c2be863b20, 2eb663cd-020a-46d8-a6d9-bb63d4b5c848 | -- Mã duy nhất để chỉ định hình ảnh của thẻ trong Szlay Forum.
  - supertypes TEXT | alias: Loại_Kiểu_Ngoại, Kiểu_Ngoại, Loại_Ngoại | values: Legendary, Basic, Legendary,Snow | -- Kiểu tổng quát của thẻ, nếu có.
  - text TEXT | alias: Nội_Dung, Chú_Thích, Thông_Tin | values: First strike (This creature deals combat damage before creatures without first strike.)
When Ancestor's Chosen enters the battlefield, you gain 1 life for each card in your graveyard., Flying
When Angel of Mercy enters the battlefield, you gain 3 life., Flying (This creature can't be blocked except by creatures with flying or reach.)
When Aven Cloudchaser enters the battlefield, destroy target enchantment. | -- Nội dung văn bản mô tả năng lực và hiệu ứng của thẻ.</t>
        </is>
      </c>
      <c r="H106" s="10" t="inlineStr">
        <is>
          <t>SELECT artist FROM cards WHERE text = 'Das perfekte Gegenmittel zu einer dichten Formation';</t>
        </is>
      </c>
      <c r="I106" s="10" t="inlineStr">
        <is>
          <t>SELECT DISTINCT T1.artist FROM cards AS T1 INNER JOIN foreign_data AS T2 ON T1.uuid = T2.uuid WHERE T2.flavorText LIKE '%DAS perfekte Gegenmittel zu einer dichten Formation%'</t>
        </is>
      </c>
      <c r="J106" s="10" t="inlineStr">
        <is>
          <t>ok</t>
        </is>
      </c>
      <c r="K106" s="10" t="inlineStr">
        <is>
          <t>Thiếu bảng cần thiết trong schema</t>
        </is>
      </c>
      <c r="L106" s="11" t="n"/>
      <c r="M106" s="10">
        <f>IF(L106="","",IF(L106=K106,"Có","Không"))</f>
        <v/>
      </c>
      <c r="N106" s="11" t="n"/>
      <c r="O106" s="11" t="n"/>
      <c r="P106" s="11" t="n"/>
    </row>
    <row r="107" ht="150" customHeight="1">
      <c r="A107" s="10" t="n">
        <v>106</v>
      </c>
      <c r="B107" s="10" t="inlineStr">
        <is>
          <t>C</t>
        </is>
      </c>
      <c r="C107" s="10" t="inlineStr">
        <is>
          <t>ViBIRD</t>
        </is>
      </c>
      <c r="D107" s="10" t="inlineStr">
        <is>
          <t>Qwen2.5-Coder-7B / full</t>
        </is>
      </c>
      <c r="E107" s="10" t="inlineStr">
        <is>
          <t>Tỷ lệ phần trăm các thẻ có convertedManaCost là 10 trong bộ card Abyssal Horror là bao nhiêu?</t>
        </is>
      </c>
      <c r="F107" s="10" t="inlineStr">
        <is>
          <t>bộ card Abyssal Horror tham chiếu tới name = 'Abyssal Horror'; tỷ lệ phần trăm tham chiếu tới DIVIDE(COUNT(convertedManaCost = 16),COUNT(convertedManaCost))*100</t>
        </is>
      </c>
      <c r="G107" s="10" t="inlineStr">
        <is>
          <t>Table: cards (Thẻ Bài)
  - id INTEGER | alias: Mã Thẻ, ID, Số Thẻ | values: 41138, 1349, 23810 | -- Mã duy nhất xác định mỗi thẻ bài.
  - colorIdentity TEXT | alias: Màu Nhập Thể, Màu Nhập, Màu Nhập Thể | values: W, B, U | -- Mảng màu đại diện cho thẻ bài.
  - convertedManaCost REAL | alias: Chi Phí Mana Đổi Hợp, Chi Phí Mana, Chi Phí Mana Đổi | values: 7.0, 5.0, 4.0 | -- Chi phí mana tổng hợp của thẻ bài.
  - faceConvertedManaCost REAL | alias: Chi_phí_mana_hợp_lệ, Chi_phí_mana, Chi_phí_hợp_lệ | values: 4.0, 5.0, 6.0 | -- Chi phí mana hợp lệ của thẻ khi được sử dụng.
  - hasAlternativeDeckLimit INTEGER | alias: Có_giới_hạn_deck_thay_thân, Giới_hạn_deck, Deck_thay_thân | values: 0, 1 | -- Trường hợp có giới hạn deck thay thế cho thẻ này.
  - hasContentWarning INTEGER | alias: Cảnh_caution, Cảnh_caution, Nội_dung_cảnh_báo | values: 0, 1 | -- Trường hợp có cảnh báo nội dung cho thẻ này.
  - manaCost TEXT | alias: Chi_phí_Mana, Chi_phí, Tốn_man | values: {5}{W}{W}, {4}{W}, {3}{W} | -- Chi phí mana cần thiết để sử dụng thẻ bài.
  - originalReleaseDate TEXT | alias: Ngày_ban_hành, Ngày phát hành, Ngày xuất bản | values: 2012/12/1, 2006/12/1, 2007/12/1 | -- Ngày ban hành đầu tiên của thẻ bài.
  - purchaseUrls TEXT | alias: Địa_chỉ_mua_hàng, Địa chỉ mua, Liên kết mua hàng | values: {'cardKingdom': 'https://mtgjson.com/links/9fb51af0ad6f0736', 'cardmarket': 'https://mtgjson.com/links/ace8861194ee0b6a', 'tcgplayer': 'https://mtgjson.com/links/4843cea124a0d515'}, {'cardKingdom': 'https://mtgjson.com/links/027095d094e58f5b', 'cardmarket': 'https://mtgjson.com/links/f6fb5098e1cd1b1e', 'tcgplayer': 'https://mtgjson.com/links/56c4b57293f350ef'}, {'cardKingdom': 'https://mtgjson.com/links/9246105d88032a9f', 'cardmarket': 'https://mtgjson.com/links/dcdfe48e6a8f9e1e', 'tcgplayer': 'https://mtgjson.com/links/3ce595aabe276f80'} | -- Liên kết để mua thẻ bài từ các nhà cung cấp khác nhau.
  - rarity TEXT | alias: Kỳ_quân, Kỳ hiếm, Loại hiếm | values: uncommon, common, rare | -- Kỳ hiếm của thẻ bài.
  - side TEXT | alias: Phía, Phía_A, Phía_B | values: a, b, c | -- Phía của thẻ khi nó được sử dụng trong trò chơi.</t>
        </is>
      </c>
      <c r="H107" s="10" t="inlineStr">
        <is>
          <t>SELECT CAST(SUM(CASE WHEN convertedManaCost = 10 THEN 1 ELSE 0 END) AS REAL) * 100 / COUNT(*) FROM cards WHERE name = 'Abyssal Horror';</t>
        </is>
      </c>
      <c r="I107" s="10" t="inlineStr">
        <is>
          <t>SELECT CAST(SUM(CASE WHEN T1.convertedManaCost = 10 THEN 1 ELSE 0 END) AS REAL) * 100 / COUNT(T1.id), T1.name FROM cards AS T1 INNER JOIN sets AS T2 ON T2.code = T1.setCode WHERE T1.name = 'Abyssal Horror'</t>
        </is>
      </c>
      <c r="J107" s="10" t="inlineStr">
        <is>
          <t>ok</t>
        </is>
      </c>
      <c r="K107" s="10" t="inlineStr">
        <is>
          <t>Thiếu bảng cần thiết trong schema</t>
        </is>
      </c>
      <c r="L107" s="11" t="n"/>
      <c r="M107" s="10">
        <f>IF(L107="","",IF(L107=K107,"Có","Không"))</f>
        <v/>
      </c>
      <c r="N107" s="11" t="n"/>
      <c r="O107" s="11" t="n"/>
      <c r="P107" s="11" t="n"/>
    </row>
    <row r="108" ht="150" customHeight="1">
      <c r="A108" s="10" t="n">
        <v>107</v>
      </c>
      <c r="B108" s="10" t="inlineStr">
        <is>
          <t>C</t>
        </is>
      </c>
      <c r="C108" s="10" t="inlineStr">
        <is>
          <t>ViBIRD</t>
        </is>
      </c>
      <c r="D108" s="10" t="inlineStr">
        <is>
          <t>Qwen2.5-Coder-7B / full</t>
        </is>
      </c>
      <c r="E108" s="10" t="inlineStr">
        <is>
          <t>Bộ bài có tên Adarkar Valkyrie chỉ có sẵn ở ngoài Hoa Kỳ không?</t>
        </is>
      </c>
      <c r="F108" s="10" t="inlineStr">
        <is>
          <t>bộ bài Adarkar Valkyrie tham chiếu tới name = 'Adarkar Valkyrie'; isForeignOnly = 1 có nghĩa là chỉ có sẵn ở ngoài Hoa Kỳ;</t>
        </is>
      </c>
      <c r="G108" s="10" t="inlineStr">
        <is>
          <t>Table: cards (Thẻ Bài)
  - id INTEGER | alias: Mã Thẻ, ID, Số Thẻ | values: 41138, 1349, 23810 | -- Mã duy nhất xác định mỗi thẻ bài.
  - availability TEXT | alias: Có Mặt Tại, Được Sử Dụng Trên, Có Trong | values: mtgo,paper, paper, arena | -- Nơi thẻ bài có mặt như MTGO, Paper, Arena.
  - faceName TEXT | alias: Tên_thẻ, Tên, Tiêu_d/Internal | values: Dusk, Dawn, Commit | -- Tên chính thức của thẻ trong game.
  - hasAlternativeDeckLimit INTEGER | alias: Có_giới_hạn_deck_thay_thân, Giới_hạn_deck, Deck_thay_thân | values: 0, 1 | -- Trường hợp có giới hạn deck thay thế cho thẻ này.
  - isOnlineOnly INTEGER | alias: Chỉ có thể mua online, Chỉ bán trực tuyến, Không có sẵn tại cửa hàng | values: 0, 1 | -- Indicates whether the card can only be purchased online.
  - mtgArenaId TEXT | alias: ID_Arena_MTG, ID_Arena, ID_MTG | values: 74983, 74986, 74987 | -- Mã duy nhất trong hệ thống Arena MTG.
  - mtgoFoilId TEXT | alias: ID_Foil_MTGO, ID_Foil, ID_MTGO | values: 27501, 26993, 27473 | -- Mã duy nhất cho phiên bản lấp lánh trong MTGO.
  - mtgoId TEXT | alias: ID_MTGO, ID_MTGO, Mã_MTGO | values: 27500, 26992, 27472 | -- Mã duy nhất trong hệ thống MTGO.
  - multiverseId TEXT | alias: ID_Multiverse, ID_Multiverse, Mã_Multiverse | values: 130550, 129465, 129470 | -- Mã duy nhất trong vũ trụ Magic: The Gathering.
  - originalReleaseDate TEXT | alias: Ngày_ban_hành, Ngày phát hành, Ngày xuất bản | values: 2012/12/1, 2006/12/1, 2007/12/1 | -- Ngày ban hành đầu tiên của thẻ bài.
  - rarity TEXT | alias: Kỳ_quân, Kỳ hiếm, Loại hiếm | values: uncommon, common, rare | -- Kỳ hiếm của thẻ bài.</t>
        </is>
      </c>
      <c r="H108" s="10" t="inlineStr">
        <is>
          <t>SELECT CASE WHEN COUNT(*) &gt; 0 THEN 'Có' ELSE 'Không' END AS Result
FROM cards
WHERE faceName = 'Adarkar Valkyrie' AND isOnlineOnly = 1;</t>
        </is>
      </c>
      <c r="I108" s="10" t="inlineStr">
        <is>
          <t>SELECT IIF(isForeignOnly = 1, 'YES', 'NO') FROM cards AS T1 INNER JOIN sets AS T2 ON T2.code = T1.setCode WHERE T1.name = 'Adarkar Valkyrie'</t>
        </is>
      </c>
      <c r="J108" s="10" t="inlineStr">
        <is>
          <t>ok</t>
        </is>
      </c>
      <c r="K108" s="10" t="inlineStr">
        <is>
          <t>Thiếu bảng cần thiết trong schema</t>
        </is>
      </c>
      <c r="L108" s="11" t="n"/>
      <c r="M108" s="10">
        <f>IF(L108="","",IF(L108=K108,"Có","Không"))</f>
        <v/>
      </c>
      <c r="N108" s="11" t="n"/>
      <c r="O108" s="11" t="n"/>
      <c r="P108" s="11" t="n"/>
    </row>
    <row r="109" ht="150" customHeight="1">
      <c r="A109" s="10" t="n">
        <v>108</v>
      </c>
      <c r="B109" s="10" t="inlineStr">
        <is>
          <t>C</t>
        </is>
      </c>
      <c r="C109" s="10" t="inlineStr">
        <is>
          <t>ViBIRD</t>
        </is>
      </c>
      <c r="D109" s="10" t="inlineStr">
        <is>
          <t>Qwen2.5-Coder-7B / full</t>
        </is>
      </c>
      <c r="E109" s="10" t="inlineStr">
        <is>
          <t>Tiêu đề của bài đăng có liên kết bài đăng lâu đời nhất là gì?</t>
        </is>
      </c>
      <c r="F109" s="10" t="inlineStr">
        <is>
          <t>liên kết bài đăng lâu đời nhất tham chiếu tới MIN(CreaionDate);</t>
        </is>
      </c>
      <c r="G109" s="10" t="inlineStr">
        <is>
          <t>Table: postHistory (Lịch Sử Bài Viết)
  - Id INTEGER | alias: Mã, Số ID, ID | values: 1, 2, 3 | -- Mã duy nhất để xác định mỗi bản ghi trong bảng.
  - PostId INTEGER | alias: Mã Bài Viết, ID Bài Viết, Bài Viết | values: 1, 2, 3 | -- Mã duy nhất để xác định bài viết liên quan đến bản ghi này.
  - UserId INTEGER | alias: Mã Người Dùng, ID Người Dùng, Người Dùng | values: 8, 24, 18 | -- Mã duy nhất để xác định người dùng đã tạo hoặc cập nhật bản ghi này.
Table: postLinks (Liên Kết Bài Viết)
  - Id INTEGER | alias: Mã Liên Kết, ID, Mã Liên Kết Bài Viết | values: 108, 145, 217 | -- Mã duy nhất để xác định mỗi liên kết bài viết.
  - CreationDate DATETIME | alias: Ngày Tạo, Ngày Tạo Liên Kết, Ngày Tạo Bài Viết Liên Kết | values: 2010-07-21 14:47:33.0, 2010-07-23 16:30:41.0, 2010-07-26 20:12:15.0 | -- Ngày và thời gian khi liên kết bài viết được tạo.
  - PostId INTEGER | alias: Mã Bài Viết, ID Bài Viết, Mã Bài Viết Liên Kết | values: 395, 548, 375 | -- Mã duy nhất của bài viết nguồn trong liên kết.
  - RelatedPostId INTEGER | alias: Mã Bài Viết Liên Quan, ID Bài Viết Liên Quan, Mã Bài Viết Mục Tiêu | values: 173, 539, 30 | -- Mã duy nhất của bài viết liên quan trong liên kết.
Table: posts (Bài Viết)
  - Id INTEGER | alias: Mã Bài Viết, ID, Số Bài Viết | values: 1, 2, 3 | -- Mã duy nhất để xác định mỗi bài viết.
  - OwnerUserId INTEGER | alias: Mã Người Đăng, Người Đăng, ID Người Đăng | values: 8, 24, 18 | -- Mã người dùng đăng bài viết.
  - Title TEXT | alias: Tiêu Đề, Tiêu Đề Bài Viết, Tên | values: Eliciting priors from experts, What is normality?, What are some valuable Statistical Analysis open source projects? | -- Tiêu đề của bài viết.
  - Tags TEXT | alias: Nhãn, Nhãn Bài Viết, Danh Mục | values: &lt;bayesian&gt;&lt;prior&gt;&lt;elicitation&gt;, &lt;distributions&gt;&lt;normality&gt;, &lt;software&gt;&lt;open-source&gt; | -- Những từ khóa hoặc nhãn liên quan đến nội dung của bài viết.
  - LastEditorUserId INTEGER | alias: ID_Tài_khoản_sửa_chỉnh_đợt_cuối, ID_sửa_chỉnh_đợt_cuối, ID_tài_khoản_sửa_chỉnh | values: 88, 183, 23 | -- ID của tài_khoản người dùng đã thực hiện sửa_chỉnh đợt cuối cùng.
  - LastEditDate DATETIME | alias: Ngày_sửa_chỉnh_đợt_cuối, Ngày_sửa_chỉnh, Ngày_sửa_chỉnh_cuối | values: 2010-08-07 17:56:44.0, 2011-02-12 05:50:03.0, 2010-07-19 19:21:15.0 | -- Ngày và giờ khi bài_viết được sửa_chỉnh lần cuối.
  - ParentId INTEGER | alias: ID_bài_viết_cháy, ID_bài_viết_mẹ, ID_cháy | values: 3, 7, 6 | -- ID của bài_viết cha hoặc bài_viết gốc nếu bài_viết này là một câu_hỏi con.
Table: tags (Nhãn)
  - Id INTEGER | alias: Mã, Số hiệu, ID | values: 1, 2, 3 | -- Mã duy nhất xác định mỗi nhãn.
  - ExcerptPostId INTEGER | alias: ID Bài Viết Tóm Tắt, ID Bài Trích, ID Bài Viết Khái Quát | values: 20258, 62158, 67815 | -- ID của bài viết tóm tắt liên quan đến nhãn này.
Table: votes (Đánh giá)
  - Id INTEGER | alias: Mã đánh giá, ID, Mã | values: 1, 2, 3 | -- Mã duy nhất để xác định mỗi bản ghi trong bảng.
  - PostId INTEGER | alias: Mã bài viết, ID bài viết, Mã bài | values: 3, 2, 5 | -- Mã duy nhất của bài viết được đánh giá.
  - UserId INTEGER | alias: Mã người dùng, ID người dùng, Mã thành viên | values: 58, 6, 66 | -- Mã duy nhất của người dùng thực hiện đánh giá.
Foreign keys:
  postHistory.PostId = posts.Id
  postHistory.UserId = users.Id
  postLinks.PostId = posts.Id
  postLinks.RelatedPostId = posts.Id
  posts.OwnerUserId = users.Id
  posts.LastEditorUserId = users.Id
  posts.ParentId = posts.Id
  tags.ExcerptPostId = posts.Id
  votes.PostId = posts.Id
  votes.UserId = users.Id</t>
        </is>
      </c>
      <c r="H109" s="10" t="inlineStr">
        <is>
          <t>SELECT p.Title
FROM posts p
JOIN postLinks pl ON p.Id = pl.PostId
ORDER BY pl.CreationDate ASC
LIMIT 1;</t>
        </is>
      </c>
      <c r="I109" s="10" t="inlineStr">
        <is>
          <t>SELECT T1.Title FROM posts AS T1 INNER JOIN postLinks AS T2 ON T2.PostId = T1.Id ORDER BY T1.CreaionDate LIMIT 1</t>
        </is>
      </c>
      <c r="J109" s="10" t="inlineStr">
        <is>
          <t>ok</t>
        </is>
      </c>
      <c r="K109" s="10" t="inlineStr">
        <is>
          <t>Sai cột</t>
        </is>
      </c>
      <c r="L109" s="11" t="n"/>
      <c r="M109" s="10">
        <f>IF(L109="","",IF(L109=K109,"Có","Không"))</f>
        <v/>
      </c>
      <c r="N109" s="11" t="n"/>
      <c r="O109" s="11" t="n"/>
      <c r="P109" s="11" t="n"/>
    </row>
    <row r="110" ht="150" customHeight="1">
      <c r="A110" s="10" t="n">
        <v>109</v>
      </c>
      <c r="B110" s="10" t="inlineStr">
        <is>
          <t>C</t>
        </is>
      </c>
      <c r="C110" s="10" t="inlineStr">
        <is>
          <t>ViBIRD</t>
        </is>
      </c>
      <c r="D110" s="10" t="inlineStr">
        <is>
          <t>Qwen2.5-Coder-7B / full</t>
        </is>
      </c>
      <c r="E110" s="10" t="inlineStr">
        <is>
          <t>Trung bình số siêu anh hùng không có màu da là bao nhiêu?</t>
        </is>
      </c>
      <c r="F110" s="10" t="inlineStr">
        <is>
          <t>trung bình = DIVIDE(COUNT(superhero.id), SUM(skin_colour_id = 1)); không có màu da tham chiếu tới skin_colour_id WHERE colour.id = 1;</t>
        </is>
      </c>
      <c r="G110" s="10" t="inlineStr">
        <is>
          <t>Table: superhero (Anh Hùng Siêu Nhiên)
  - id INTEGER | alias: Mã ID, ID, Số ID | values: 1, 2, 3 | -- Mã duy nhất để xác định mỗi anh hùng siêu nhiên.
  - superhero_name TEXT | alias: Tên Anh Hùng Siêu Nhiên, Tên Siêu Anh Hùng, Tên Anh Hùng | values: 3-D Man, A-Bomb, Abe Sapien | -- Tên gọi của anh hùng siêu nhiên trong truyện tranh hoặc phim ảnh.
  - full_name TEXT | alias: Họ và Tên, Tên Thật, Tên Đầy Đủ | values: Charles Chandler, Richard Milhouse Jones, Abraham Sapien | -- Tên đầy đủ của nhân vật trong thế giới thực.
  - gender_id INTEGER | alias: Giới Tính, Giới Tính Nam/Nữ, Phái | values: 1, 2, 3 | -- Giới tính của nhân vật được chỉ định bằng số ID.
  - eye_colour_id INTEGER | alias: Màu Mắt, Màu Nhìn, Màu Môi | values: 9, 33, 7 | -- Màu sắc của mắt nhân vật được chỉ định bằng số ID.
  - hair_colour_id INTEGER | alias: Màu Tóc, Màu Đầu, Màu Tóc | values: 13, 1, 4 | -- Màu sắc của tóc nhân vật được chỉ định bằng số ID.
  - skin_colour_id INTEGER | alias: Màu Da, Màu Da, Màu Nước | values: 1, 7, 23 | -- Màu sắc của da nhân vật được chỉ định bằng số ID.
  - race_id INTEGER | alias: Dân Tộc, Dân Tộc, Loài | values: 1, 24, 33 | -- Dân tộc hoặc loài của nhân vật được chỉ định bằng số ID.
  - publisher_id INTEGER | alias: Nhà Xuất Bản, Nhà Sáng Tạo, Nhà Sản Xuất | values: 13, 3, 4 | -- Nhà xuất bản hoặc nhà sản xuất truyện tranh của nhân vật được chỉ định bằng số ID.
  - alignment_id INTEGER | alias: Tư Tưởng, Tư Tưởng, Đạo Đức | values: 1, 2, 3 | -- Tư tưởng hoặc đạo đức của nhân vật được chỉ định bằng số ID.
Foreign keys:
  superhero.gender_id = gender.id
  superhero.eye_colour_id = colour.id
  superhero.hair_colour_id = colour.id
  superhero.skin_colour_id = colour.id
  superhero.race_id = race.id
  superhero.publisher_id = publisher.id
  superhero.alignment_id = alignment.id</t>
        </is>
      </c>
      <c r="H110" s="10" t="inlineStr">
        <is>
          <t>SELECT AVG(CASE WHEN skin_colour_id = 1 THEN 1 ELSE 0 END) AS average_no_skin_color FROM superhero;</t>
        </is>
      </c>
      <c r="I110" s="10" t="inlineStr">
        <is>
          <t>SELECT CAST(COUNT(*) AS REAL) / SUM(CASE WHEN T2.id = 1 THEN 1 ELSE 0 END) FROM superhero AS T1 INNER JOIN colour AS T2 ON T1.skin_colour_id = T2.id</t>
        </is>
      </c>
      <c r="J110" s="10" t="inlineStr">
        <is>
          <t>ok</t>
        </is>
      </c>
      <c r="K110" s="10" t="inlineStr">
        <is>
          <t>Thiếu bảng cần thiết trong schema</t>
        </is>
      </c>
      <c r="L110" s="11" t="n"/>
      <c r="M110" s="10">
        <f>IF(L110="","",IF(L110=K110,"Có","Không"))</f>
        <v/>
      </c>
      <c r="N110" s="11" t="n"/>
      <c r="O110" s="11" t="n"/>
      <c r="P110" s="11" t="n"/>
    </row>
    <row r="111" ht="150" customHeight="1">
      <c r="A111" s="10" t="n">
        <v>110</v>
      </c>
      <c r="B111" s="10" t="inlineStr">
        <is>
          <t>C</t>
        </is>
      </c>
      <c r="C111" s="10" t="inlineStr">
        <is>
          <t>ViBIRD</t>
        </is>
      </c>
      <c r="D111" s="10" t="inlineStr">
        <is>
          <t>Qwen2.5-Coder-7B / full</t>
        </is>
      </c>
      <c r="E111" s="10" t="inlineStr">
        <is>
          <t>Hãy cho biết chặng đua và năm của chặng đua mà Michael Schumacher có vòng đua nhanh nhất.</t>
        </is>
      </c>
      <c r="F111" s="10" t="inlineStr">
        <is>
          <t>vòng đua nhanh nhất tham chiếu tới min(milliseconds); Alex Yoong tham chiếu đến tên đầy đủ của người lái; tên đầy đủ của người lái tham chiếu tới drivers.forename và drivers.surname;</t>
        </is>
      </c>
      <c r="G111"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position INTEGER | alias: Vị Trí, Thứ Tự, Vị Trí Đua | values: 1, 2, 3 | --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q1 TEXT | alias: Thời gian vòng 1, Thời gian vòng đầu tiên, Thời gian vòng 1 | values: 1:35.347, 1:35.645, 1:35.227 | -- Thời gian bấm nút nhanh nhất trong vòng 1.
  - q2 TEXT | alias: Thời gian vòng 2, Thời gian vòng thứ hai, Thời gian vòng 2 | values: 1:34.412, 1:34.188, 1:34.759 | -- Thời gian bấm nút nhanh nhất trong vòng 2.
  - q3 TEXT | alias: Thời gian vòng 3, Thời gian vòng cuối cùng, Thời gian vòng 3 | values: 1:35.748, 1:36.230, 1:36.613 | -- Thời gian bấm nút nhanh nhất trong vòng 3.
Table: races (Giải đua xe ô tô)
  - raceId INTEGER | alias: Mã giải đua, ID giải đua, Số giải đua | values: 837, 833, 838 | -- Mã duy nhất xác định mỗi cuộc đua.
  - year INTEGER | alias: Năm, Nam, Năm tổ chức | values: 2009, 2008, 2007 | -- Năm mà cuộc đua được tổ chức.
  - round INTEGER | alias: Vòng đua, Vòng, Số vòng | values: 2, 3, 4 | -- Vị trí của cuộc đua trong mùa giải.
  - circuitId INTEGER | alias: Mã đường đua, ID đường đua, Số đường đua | values: 2, 17, 3 | -- Mã duy nhất xác định mỗi đường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fastestLapTime TEXT | alias: Thời gian quãng đường nhanh nhất, Thời gian tốt nhất, Thời gian nhanh nhất | values: 1:35.405, 1:35.921, 1:35.922 | -- Thời gian hoàn thành quãng đường nhanh nhất của lái xe.
  - fastestLapSpeed TEXT | alias: Tốc độ trung bình quãng đường nhanh nhất, Tốc độ nhanh nhất, Tốc độ tốt nhất | values: 209.158, 208.033, 208.031 | -- Tốc độ trung bình khi lái xe hoàn thành quãng đường nhanh nhất.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races.year = seasons.year
  races.circuitId = circuits.circuitId
  results.raceId = races.raceId
  results.driverId = drivers.driverId
  results.constructorId = constructors.constructorId
  results.statusId = status.statusId</t>
        </is>
      </c>
      <c r="H111" s="10" t="inlineStr">
        <is>
          <t>SELECT c.name AS CircuitName, r.year AS Year
FROM results res
JOIN drivers d ON res.driverid = d.driverid
JOIN races r ON res.raceid = r.raceid
JOIN circuits c ON r.circuitid = c.circuitid
WHERE d.forename = 'Michael' AND d.surname = 'Schumacher'
ORDER BY CAST(REPLACE(SUBSTR(res.fastestlapspeed, 4), ',', '') AS REAL) DESC
LIMIT 1;</t>
        </is>
      </c>
      <c r="I111" s="10" t="inlineStr">
        <is>
          <t>SELECT T1.name, T1.year FROM races AS T1 INNER JOIN lapTimes AS T2 ON T2.raceId = T1.raceId INNER JOIN drivers AS T3 ON T3.driverId = T2.driverId WHERE T3.forename = 'Michael' AND T3.surname = 'Schumacher' ORDER BY T2.milliseconds ASC LIMIT 1</t>
        </is>
      </c>
      <c r="J111" s="10" t="inlineStr">
        <is>
          <t>ok</t>
        </is>
      </c>
      <c r="K111" s="10" t="inlineStr">
        <is>
          <t>Thiếu bảng cần thiết trong schema</t>
        </is>
      </c>
      <c r="L111" s="11" t="n"/>
      <c r="M111" s="10">
        <f>IF(L111="","",IF(L111=K111,"Có","Không"))</f>
        <v/>
      </c>
      <c r="N111" s="11" t="n"/>
      <c r="O111" s="11" t="n"/>
      <c r="P111" s="11" t="n"/>
    </row>
    <row r="112" ht="150" customHeight="1">
      <c r="A112" s="10" t="n">
        <v>111</v>
      </c>
      <c r="B112" s="10" t="inlineStr">
        <is>
          <t>C</t>
        </is>
      </c>
      <c r="C112" s="10" t="inlineStr">
        <is>
          <t>ViBIRD</t>
        </is>
      </c>
      <c r="D112" s="10" t="inlineStr">
        <is>
          <t>Qwen2.5-Coder-7B / full</t>
        </is>
      </c>
      <c r="E112" s="10" t="inlineStr">
        <is>
          <t>Trong chặng đua F1 nào, Lewis Hamilton có hạng cao nhất?</t>
        </is>
      </c>
      <c r="F112" s="10" t="inlineStr">
        <is>
          <t>hạng cao nhất tương ứng với min(rank); Lewis Hamilton là tên đầy đủ của người lái xe; tên đầy đủ của người lái xe tương ứng với drivers.forename và drivers.surname;</t>
        </is>
      </c>
      <c r="G112" s="10" t="inlineStr">
        <is>
          <t>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 points REAL | alias: Số Điểm, Điểm, Điểm Số | values: 10.0, 8.0, 6.0 | -- Số điểm mà tài xế đã giành được sau mỗi cuộc đua.
  - position INTEGER | alias: Vị Trí, Thứ Tự, Vị Trí Đua | values: 1, 2, 3 | -- Vị trí của tài xế trong cuộc đua.
  - positionText TEXT | alias: Vị Trí Văn Bản, Thứ Tự Văn Bản, Vị Trí Đua Văn Bản | values: 1, 2, 3 | -- Biểu diễn văn bản của vị trí của tài xế trong cuộc đua.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 position INTEGER | alias: Vị Trí, Hạng Đứng, Vị Trí Đua | values: 10, 11, 9 | -- Vị trí của tài xế sau khi hoàn thành tròn đua.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 position INTEGER | alias: Vị trí, Hạng vị, Số thứ tự | values: 1, 2, 3 | -- Vị trí của tài xế trong vòng bấm nút.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position INTEGER | alias: Vị trí, Hạng vị, Vị trí chấm dứt | values: 1, 2, 3 | -- Vị trí của tài xế khi kết thúc cuộc đua.
  - laps INTEGER | alias: Laps, Lộ trình, Lần đi quanh | values: 56, 55, 54 | -- Số vòng đua mà tài xế đã hoàn thành.
  - fastestLap INTEGER | alias: Quãng đường nhanh nhất, Quãng đường tốt nhất, Quãng đường nhanh | values: 37, 39, 19 | -- Số vòng đua trong quãng đường nhanh nhất của lái xe.
  - rank INTEGER | alias: Hạng, Số hạng, Hạng mục | values: 2, 6, 7 | -- Hạng của lái xe sau khi kết thúc cuộc đua.
  - statusId INTEGER | alias: Trạng thái, Trạng thái lái xe, Trạng thái cuộc đua | values: 1, 11, 12 | -- Mã trạng thái của lái xe tại thời điểm kết thúc cuộc đua.
Foreign keys: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2" s="10" t="inlineStr">
        <is>
          <t>SELECT r.round, r.name
FROM races r
JOIN results res ON r.raceid = res.raceid
JOIN drivers d ON res.driverid = d.driverid
WHERE d.forename = 'Lewis' AND d.surname = 'Hamilton'
ORDER BY res.rank ASC
LIMIT 1;</t>
        </is>
      </c>
      <c r="I112" s="10" t="inlineStr">
        <is>
          <t>SELECT name FROM races WHERE raceId IN ( SELECT raceId FROM results WHERE rank = 1 AND driverId = ( SELECT driverId FROM drivers WHERE forename = 'Lewis' AND surname = 'Hamilton' ) )</t>
        </is>
      </c>
      <c r="J112" s="10" t="inlineStr">
        <is>
          <t>ok</t>
        </is>
      </c>
      <c r="K112" s="10" t="inlineStr">
        <is>
          <t>Thiếu bảng cần thiết trong schema</t>
        </is>
      </c>
      <c r="L112" s="11" t="n"/>
      <c r="M112" s="10">
        <f>IF(L112="","",IF(L112=K112,"Có","Không"))</f>
        <v/>
      </c>
      <c r="N112" s="11" t="n"/>
      <c r="O112" s="11" t="n"/>
      <c r="P112" s="11" t="n"/>
    </row>
    <row r="113" ht="150" customHeight="1">
      <c r="A113" s="10" t="n">
        <v>112</v>
      </c>
      <c r="B113" s="10" t="inlineStr">
        <is>
          <t>C</t>
        </is>
      </c>
      <c r="C113" s="10" t="inlineStr">
        <is>
          <t>ViBIRD</t>
        </is>
      </c>
      <c r="D113" s="10" t="inlineStr">
        <is>
          <t>Qwen2.5-Coder-7B / full</t>
        </is>
      </c>
      <c r="E113" s="10" t="inlineStr">
        <is>
          <t>Liệt kê ID của các tay đua đứng trong top năm, theo thứ tự giảm dần về thời gian nhanh nhất trong vòng đầu tiên của cuộc đua.</t>
        </is>
      </c>
      <c r="F113" s="10" t="inlineStr">
        <is>
          <t>thời gian nhanh nhất tham chiếu tới Min(time);</t>
        </is>
      </c>
      <c r="G113" s="10" t="inlineStr">
        <is>
          <t>Table: constructorStandings (Bảng Xếp Hạng Constructors)
  - constructorStandingsId INTEGER | alias: ID Xếp Hạng Constructor, Mã Xếp Hạng Constructor, ID Constructor | values: 1, 2, 3 | -- Mã duy nhất để xác định mỗi dòng trong bảng xếp hạng constructor.
  - raceId INTEGER | alias: ID Giải Đua, Mã Giải Đua, ID Giải | values: 18, 19, 20 | -- Mã duy nhất để xác định mỗi giải đua trong bảng xếp hạng.
  - constructorId INTEGER | alias: ID Constructor, Mã Constructor, ID Xe | values: 1, 2, 3 | -- Mã duy nhất để xác định mỗi đội đua trong bảng xếp hạng.
Table: driverStandings (Lịch Sử Kết Quả Đua Xe)
  - driverStandingsId INTEGER | alias: Mã Lịch Sử Kết Quả, ID Lịch Sử Kết Quả, Mã Kết Quả | values: 1, 2, 3 | -- Mã duy nhất để xác định mỗi dòng lịch sử kết quả.
  - raceId INTEGER | alias: Mã Giải Đua, ID Giải Đua, Mã Giải | values: 18, 19, 20 | -- Mã duy nhất để xác định mỗi giải đua.
  - driverId INTEGER | alias: Mã Tài Xế, ID Tài Xế, Mã Tài | values: 1, 2, 3 | -- Mã duy nhất để xác định mỗi tài xế.
Table: drivers (Hãnh trang đua xe)
  - driverId INTEGER | alias: Mã tài xế, ID tài xế, Số tài xế | values: 452, 625, 103 | -- Mã duy nhất xác định mỗi tài xế trong bảng.
Table: lapTimes (Kết Quả Tròn)
  - raceId INTEGER | alias: ID Giải Đấu, Mã Giải Đấu, Số Giải Đấu | values: 2, 3, 4 | -- Mã duy nhất xác định giải đấu.
  - driverId INTEGER | alias: ID Tài Xế, Mã Tài Xế, Số Tài Xế | values: 1, 2, 3 | -- Mã duy nhất xác định tài xế trong giải đấu.
  - lap INTEGER | alias: Tròn, Lần Quanh, Tròn Đường | values: 1, 2, 3 | -- Số tròn đua mà tài xế đã hoàn thành.
Table: qualifying (Kết quả bấm nút)
  - qualifyId INTEGER | alias: Mã vòng bấm nút, Mã vòng đua, ID vòng bấm nút | values: 23, 24, 25 | -- Mã duy nhất xác định mỗi vòng bấm nút.
  - raceId INTEGER | alias: Mã cuộc đua, ID cuộc đua, Mã giải đấu | values: 19, 20, 21 | -- Mã duy nhất xác định mỗi cuộc đua.
  - driverId INTEGER | alias: Mã tài xế, ID tài xế, Mã lái xe | values: 13, 8, 5 | -- Mã duy nhất xác định mỗi tài xế tham gia cuộc đua.
  - constructorId INTEGER | alias: Mã đội đua, ID đội đua, Mã nhà sản xuất | values: 6, 1, 7 | -- Mã duy nhất xác định mỗi đội đua tham gia cuộc đua.
Table: results (Kết quả đua)
  - resultId INTEGER | alias: Mã kết quả, ID kết quả, Mã đua | values: 23, 24, 25 | -- Mã duy nhất để xác định mỗi kết quả đua.
  - raceId INTEGER | alias: Mã giải đua, ID giải đua, Số giải đua | values: 19, 20, 21 | -- Mã duy nhất để xác định mỗi giải đua.
  - driverId INTEGER | alias: Mã tài xế, ID tài xế, Số tài xế | values: 8, 9, 5 | -- Mã duy nhất để xác định mỗi tài xế tham gia đua.
  - constructorId INTEGER | alias: Mã đội đua, ID đội đua, Số đội đua | values: 6, 2, 1 | -- Mã duy nhất để xác định mỗi đội đua.
  - statusId INTEGER | alias: Trạng thái, Trạng thái lái xe, Trạng thái cuộc đua | values: 1, 11, 12 | -- Mã trạng thái của lái xe tại thời điểm kết thúc cuộc đua.
Foreign keys:
  constructorStandings.raceId = races.raceId
  constructorStandings.constructorId = constructors.constructorId
  driverStandings.raceId = races.raceId
  driverStandings.driverId = drivers.driverId
  lapTimes.raceId = races.raceId
  lapTimes.driverId = drivers.driverId
  qualifying.raceId = races.raceId
  qualifying.driverId = drivers.driverId
  qualifying.constructorId = constructors.constructorId
  results.raceId = races.raceId
  results.driverId = drivers.driverId
  results.constructorId = constructors.constructorId
  results.statusId = status.statusId</t>
        </is>
      </c>
      <c r="H113" s="10" t="inlineStr">
        <is>
          <t>SELECT driverId 
FROM lapTimes 
WHERE raceId = 1 
ORDER BY time ASC 
LIMIT 5;</t>
        </is>
      </c>
      <c r="I113" s="10" t="inlineStr">
        <is>
          <t>SELECT driverId FROM lapTimes WHERE lap = 1 ORDER BY time LIMIT 5</t>
        </is>
      </c>
      <c r="J113" s="10" t="inlineStr">
        <is>
          <t>ok</t>
        </is>
      </c>
      <c r="K113" s="10" t="inlineStr">
        <is>
          <t>Sai cột</t>
        </is>
      </c>
      <c r="L113" s="11" t="n"/>
      <c r="M113" s="10">
        <f>IF(L113="","",IF(L113=K113,"Có","Không"))</f>
        <v/>
      </c>
      <c r="N113" s="11" t="n"/>
      <c r="O113" s="11" t="n"/>
      <c r="P113" s="11" t="n"/>
    </row>
    <row r="114" ht="150" customHeight="1">
      <c r="A114" s="10" t="n">
        <v>113</v>
      </c>
      <c r="B114" s="10" t="inlineStr">
        <is>
          <t>C</t>
        </is>
      </c>
      <c r="C114" s="10" t="inlineStr">
        <is>
          <t>ViBIRD</t>
        </is>
      </c>
      <c r="D114" s="10" t="inlineStr">
        <is>
          <t>Qwen2.5-Coder-7B / full</t>
        </is>
      </c>
      <c r="E114" s="10" t="inlineStr">
        <is>
          <t>Liệt kê player_api_id của những cầu thủ có overall_rating cao hơn mức trung bình nhất trong năm 2010.</t>
        </is>
      </c>
      <c r="F114" s="10" t="inlineStr">
        <is>
          <t>overall_rating cao hơn mức trung bình nhất tương ứng với MAX(overall_rating); năm 2010 tương ứng với substr(date,1,4) = '2010';</t>
        </is>
      </c>
      <c r="G114"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Table: Player (Người chơi)
  - id INTEGER | alias: Mã người chơi, ID, Mã | values: 3879, 401, 9179 | -- Mã duy nhất để xác định người chơi
  - player_name TEXT | alias: Tên người chơi, Tên, Họ và tên | values: Aaron Appindangoye, Aaron Cresswell, Aaron Doran | -- Tên đầy đủ của người chơi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curve INTEGER | alias: Điểm Uốn, Điểm Uốn Bóng, Điểm Uốn Bola | values: 45, 44, 70 | -- Tỉ lệ uốn bóng thành công của cầu thủ.
  - long_passing INTEGER | alias: Đánh Dấu Khoảng Cách Dài, Đánh Dấu Khoảng Cách Lớn, Đánh Dấu Long | values: 64, 63, 68 | -- Tỉ lệ đánh dấu khoảnh cách dài của cầu thủ.
  - jumping INTEGER | alias: Nâng Tầm, Nâng Tầm, Nâng Dốc | values: 58, 85, 84 | -- Khả năng nhảy cao của cầu thủ.
  - positioning INTEGER | alias: Vị Trí, Vị Trí, Đặt Vị Trí | values: 45, 44, 60 | -- Khả năng định vị chính xác trên sân.
  - vision INTEGER | alias: Hiểu Biết, Hiểu Biết, Hiểu Quan | values: 54, 53, 66 | -- Khả năng nhìn nhận và phân tích tình huống trên sân.
  - gk_reflexes INTEGER | alias: Tư Duy Nhanh, Tư duy nhanh, Tư duy phản xạ | values: 8, 7, 12 | -- Năng lực phản xạ nhanh của thủ môn khi bắt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
  Team_Attributes.team_fifa_api_id = Team.team_fifa_api_id
  Team_Attributes.team_api_id = Team.team_api_id</t>
        </is>
      </c>
      <c r="H114" s="10" t="inlineStr">
        <is>
          <t>SELECT player_api_id 
FROM Player_Attributes 
WHERE overall_rating &gt; (SELECT AVG(overall_rating) FROM Player_Attributes WHERE date LIKE '2010%')</t>
        </is>
      </c>
      <c r="I114" s="10" t="inlineStr">
        <is>
          <t>SELECT player_api_id FROM Player_Attributes WHERE SUBSTR(`date`, 1, 4) = '2010' ORDER BY overall_rating DESC LIMIT 1</t>
        </is>
      </c>
      <c r="J114" s="10" t="inlineStr">
        <is>
          <t>ok</t>
        </is>
      </c>
      <c r="K114" s="10" t="inlineStr">
        <is>
          <t>Sai hàm gộp hoặc GROUP BY</t>
        </is>
      </c>
      <c r="L114" s="11" t="n"/>
      <c r="M114" s="10">
        <f>IF(L114="","",IF(L114=K114,"Có","Không"))</f>
        <v/>
      </c>
      <c r="N114" s="11" t="n"/>
      <c r="O114" s="11" t="n"/>
      <c r="P114" s="11" t="n"/>
    </row>
    <row r="115" ht="150" customHeight="1">
      <c r="A115" s="10" t="n">
        <v>114</v>
      </c>
      <c r="B115" s="10" t="inlineStr">
        <is>
          <t>C</t>
        </is>
      </c>
      <c r="C115" s="10" t="inlineStr">
        <is>
          <t>ViBIRD</t>
        </is>
      </c>
      <c r="D115" s="10" t="inlineStr">
        <is>
          <t>Qwen2.5-Coder-7B / full</t>
        </is>
      </c>
      <c r="E115" s="10" t="inlineStr">
        <is>
          <t>Hãy cho biết team_fifa_api_id của các đội có tốc độ xây dựng tấn công nằm trong khoảng từ 50 đến 60.</t>
        </is>
      </c>
      <c r="F115" s="10" t="inlineStr">
        <is>
          <t>các đội có tốc độ xây dựng tấn công lớn hơn 50 nhưng nhỏ hơn 60 tương ứng với buildUpPlaySpeed &gt;50 AND buildUpPlaySpeed &lt;60;</t>
        </is>
      </c>
      <c r="G115" s="10" t="inlineStr">
        <is>
          <t>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attacking_work_rate TEXT | alias: Tỷ lệ làm việc tấn công, Tỷ lệ tấn công, Tốc độ tấn công | values: medium, high, low | -- Tỷ lệ làm việc tấn công của đội thuyền viên trong trận đấu.
Table: Team (Đội bóng)
  - id INTEGER | alias: Mã đội, ID đội, Mã nhận dạng | values: 31446, 1513, 31456 | -- Mã duy nhất để nhận diện mỗi đội bóng.
  - team_api_id INTEGER | alias: API ID đội, ID API đội, Mã API | values: 1601, 1773, 1957 | -- Mã duy nhất được sử dụng trong API để tham chiếu đến mỗi đội bóng.
Table: Team_Attributes (Thông Tin Đội Thuyền)
  - id INTEGER | alias: Mã Đội, ID Đội, Số Đội | values: 1, 2, 3 | -- Mã duy nhất để xác định mỗi đội
  - team_fifa_api_id INTEGER | alias: ID API FIFA Đội, ID API Đội, Mã API FIFA | values: 434, 77, 614 | -- ID duy nhất từ API FIFA để xác định đội bóng
  - team_api_id INTEGER | alias: ID API Đội, Mã API, ID API | values: 9930, 8485, 8576 | -- ID duy nhất từ API để xác định đội bóng
  - buildUpPlaySpeed INTEGER | alias: Tốc Độ Xây Dựng Cuộc Chơi, Tốc Độ Xây Dựng, Xây Dựng Nhanh | values: 60, 52, 47 | -- Tốc độ xây dựng cuộc chơi của đội bóng
  - buildUpPlaySpeedClass TEXT | alias: Lớp Tốc Độ Xây Dựng, Loại Tốc Độ, Tốc Độ Loại | values: Balanced, Fast, Slow | -- Lớp mô tả tốc độ xây dựng cuộc chơi của đội bóng
  - buildUpPlayDribbling INTEGER | alias: Kỹ Năng Dribbling Xây Dựng, Dribbling Xây Dựng, Kỹ Năng Dribbling | values: 48, 41, 64 | -- Kỹ năng dribbling trong quá trình xây dựng cuộc chơi của đội bóng
  - buildUpPlayPassing INTEGER | alias: Kỹ Năng Passing Xây Dựng, Passing Xây Dựng, Kỹ Năng Passing | values: 50, 56, 54 | -- Kỹ năng passing trong quá trình xây dựng cuộc chơi của đội bóng
  - buildUpPlayPositioningClass TEXT | alias: Lớp Phân Bố Đội Hình Xây Dựng, Phân Bố Đội Hình, Đội Hình Loại | values: Organised, Free Form | -- Lớp mô tả cách đội hình phân bố trong quá trình xây dựng cuộc chơi
  - chanceCreationPassing INTEGER | alias: Kỹ Năng Passing Tạo Cơ Hội, Passing Tạo Cơ Hội, Kỹ Năng Tạo Cơ Hội | values: 60, 54, 70 | -- Kỹ năng passing tạo cơ hội ghi bàn của đội bóng
Foreign keys:
  Player_Attributes.player_fifa_api_id = Player.player_fifa_api_id
  Player_Attributes.player_api_id = Player.player_api_id
  Team_Attributes.team_fifa_api_id = Team.team_fifa_api_id
  Team_Attributes.team_api_id = Team.team_api_id</t>
        </is>
      </c>
      <c r="H115" s="10" t="inlineStr">
        <is>
          <t>SELECT team_fifa_api_id FROM Team_Attributes WHERE buildUpPlaySpeed BETWEEN 50 AND 60;</t>
        </is>
      </c>
      <c r="I115" s="10" t="inlineStr">
        <is>
          <t>SELECT DISTINCT team_fifa_api_id FROM Team_Attributes WHERE buildUpPlaySpeed &gt; 50 AND buildUpPlaySpeed &lt; 60</t>
        </is>
      </c>
      <c r="J115" s="10" t="inlineStr">
        <is>
          <t>ok</t>
        </is>
      </c>
      <c r="K115" s="10" t="inlineStr">
        <is>
          <t>Sai điều kiện hoặc giá trị</t>
        </is>
      </c>
      <c r="L115" s="11" t="n"/>
      <c r="M115" s="10">
        <f>IF(L115="","",IF(L115=K115,"Có","Không"))</f>
        <v/>
      </c>
      <c r="N115" s="11" t="n"/>
      <c r="O115" s="11" t="n"/>
      <c r="P115" s="11" t="n"/>
    </row>
    <row r="116" ht="150" customHeight="1">
      <c r="A116" s="10" t="n">
        <v>115</v>
      </c>
      <c r="B116" s="10" t="inlineStr">
        <is>
          <t>C</t>
        </is>
      </c>
      <c r="C116" s="10" t="inlineStr">
        <is>
          <t>ViBIRD</t>
        </is>
      </c>
      <c r="D116" s="10" t="inlineStr">
        <is>
          <t>Qwen2.5-Coder-7B / full</t>
        </is>
      </c>
      <c r="E116" s="10" t="inlineStr">
        <is>
          <t>Từ năm 2010 đến năm 2015, điểm đánh giá chung trung bình của các cầu thủ cao hơn 170 là bao nhiêu?</t>
        </is>
      </c>
      <c r="F116" s="10" t="inlineStr">
        <is>
          <t>từ 2010 đến 2015 tương ứng với strftime('%Y', date) &gt;= '2010' AND &lt;= '2015'; điểm đánh giá chung trung bình = SUM(t2.overall_rating)/ COUNT(t2.id); cao hơn 170 tương ứng với Player.height &gt; 170;</t>
        </is>
      </c>
      <c r="G116" s="10" t="inlineStr">
        <is>
          <t>Table: Match (Dấu Hiệu Trận Đấu)
  - id INTEGER | alias: Mã Trận Đấu, ID Trận Đấu, Số Trận Đấu | values: 4769, 4770, 4771 | -- Mã duy nhất để xác định mỗi trận đấu.
  - country_id INTEGER | alias: Mã Quốc Gia, ID Quốc Gia, Số Quốc Gia | values: 1, 1729, 4769 | -- Mã duy nhất để xác định quốc gia của trận đấu.
  - league_id INTEGER | alias: Mã Liên Đoàn, ID Liên Đoàn, Số Liên Đoàn | values: 1, 1729, 4769 | -- Mã duy nhất để xác định liên đoàn bóng đá của trận đấu.
  - home_team_api_id INTEGER | alias: Mã API Đội Nhà, ID API Đội Nhà, Số API Đội Nhà | values: 9987, 10000, 9984 | -- Mã duy nhất để xác định đội nhà trong API.
  - away_team_api_id INTEGER | alias: Mã API Đội Khách, ID API Đội Khách, Số API Đội Khách | values: 9993, 9994, 8635 | -- Mã duy nhất để xác định đội khách trong API.
  - home_player_1 INTEGER | alias: Người chơi nhà 1, Người chơi đội nhà 1, Đội nhà 1 | values: 39890, 38327, 95597 | -- Mã số của người chơi từ đội nhà trong trận đấu.
  - home_player_2 INTEGER | alias: Người chơi nhà 2, Người chơi đội nhà 2, Đội nhà 2 | values: 67950, 39580, 38292 | -- Mã số của người chơi từ đội nhà trong trận đấu.
  - home_player_3 INTEGER | alias: Người chơi nhà 3, Người chơi đội nhà 3, Đội nhà 3 | values: 38788, 67958, 30692 | -- Mã số của người chơi từ đội nhà trong trận đấu.
  - home_player_4 INTEGER | alias: Người chơi nhà 4, Người chơi đội nhà 4, Đội nhà 4 | values: 38312, 67959, 38435 | -- Mã số của người chơi từ đội nhà trong trận đấu.
  - home_player_5 INTEGER | alias: Người chơi nhà 5, Người chơi đội nhà 5, Đội nhà 5 | values: 26235, 37112, 94462 | -- Mã số của người chơi từ đội nhà trong trận đấu.
  - home_player_6 INTEGER | alias: Người Chơi Nhà Số 6, Người Chơi Nhà 6, Đội Nhà 6 | values: 36393, 46004, 119117 | -- ID của người chơi số 6 trong đội nhà.
  - home_player_7 INTEGER | alias: Người Chơi Nhà Số 7, Người Chơi Nhà 7, Đội Nhà 7 | values: 148286, 164732, 35412 | -- ID của người chơi số 7 trong đội nhà.
  - home_player_8 INTEGER | alias: Người Chơi Nhà Số 8, Người Chơi Nhà 8, Đội Nhà 8 | values: 67898, 39631, 95609 | -- ID của người chơi số 8 trong đội nhà.
  - home_player_9 INTEGER | alias: Người Chơi Nhà Số 9, Người Chơi Nhà 9, Đội Nhà 9 | values: 26916, 164352, 38246 | -- ID của người chơi số 9 trong đội nhà.
  - home_player_10 INTEGER | alias: Người Chơi Nhà Số 10, Người Chơi Nhà 10, Đội Nhà 10 | values: 38801, 38423, 25957 | -- ID của người chơi số 10 trong đội nhà.
  - home_player_11 INTEGER | alias: Người Chơi Nhà Số 11, Người Chơi Nhà 11, Đội Nhà 11 | values: 94289, 26502, 38419 | -- ID của người chơi số 11 trong đội nhà.
  - away_player_1 INTEGER | alias: Người Chơi Khách Số 1, Người Chơi Khách 1, Đội Khách 1 | values: 34480, 37937, 38252 | -- ID của người chơi số 1 trong đội khách.
  - away_player_2 INTEGER | alias: Người Chơi Khách Số 2, Người Chơi Khách 2, Đội Khách 2 | values: 38388, 38293, 39156 | -- ID của người chơi số 2 trong đội khách.
  - away_player_3 INTEGER | alias: Người Chơi Khách Số 3, Người Chơi Khách 3, Đội Khách 3 | values: 26458, 148313, 39151 | -- ID của người chơi số 3 trong đội khách.
  - away_player_4 INTEGER | alias: Người Chơi Khách Số 4, Người Chơi Khách 4, Đội Khách 4 | values: 13423, 104411, 166554 | -- ID của người chơi số 4 trong đội khách.
  - away_player_5 INTEGER | alias: Người Chơi Khách Số 5, Người Chơi Khách 5, Đội Khách 5 | values: 38389, 148314, 15652 | -- ID của người chơi số 5 trong đội khách.
  - away_player_6 INTEGER | alias: Người Chơi Khách Số 6, Người Chơi Khách 6, Đội Khách 6 | values: 38798, 37202, 39145 | -- ID của người chơi số 6 trong đội khách.
  - away_player_7 INTEGER | alias: Người Chơi Trận Đấu 7 Đội Khách, Người Chơi 7, Đội Khách 7 | values: 30949, 43158, 46890 | -- Mã số của người chơi thứ 7 trong đội khách
  - away_player_8 INTEGER | alias: Người Chơi Trận Đấu 8 Đội Khách, Người Chơi 8, Đội Khách 8 | values: 38253, 9307, 38947 | -- Mã số của người chơi thứ 8 trong đội khách
  - away_player_9 INTEGER | alias: Người Chơi Trận Đấu 9 Đội Khách, Người Chơi 9, Đội Khách 9 | values: 106013, 42153, 46881 | -- Mã số của người chơi thứ 9 trong đội khách
  - away_player_10 INTEGER | alias: Người Chơi Trận Đấu 10 Đội Khách, Người Chơi 10, Đội Khách 10 | values: 38383, 32690, 39158 | -- Mã số của người chơi thứ 10 trong đội khách
  - away_player_11 INTEGER | alias: Người Chơi Trận Đấu 11 Đội Khách, Người Chơi 11, Đội Khách 11 | values: 46552, 38782, 119118 | -- Mã số của người chơi thứ 11 trong đội khách
  - GBA REAL | alias: Odds_Tài, Xác Suất Tài, Odds_Tài | values: 4.0, 3.75, 2.5 | -- Xác suất tổng số bàn thắng trong trận đấu lớn hơn hoặc bằng 2.5.
  - BSA REAL | alias: Odd_Over, Xác Suativity_Suất Lớn, Odds_Lớn | values: 4.2, 3.6, 2.75 | -- Xác suất tổng số bàn thắng trong trận đấu lớn hơn 2.5.
Table: Player (Người chơi)
  - id INTEGER | alias: Mã người chơi, ID, Mã | values: 3879, 401, 9179 | -- Mã duy nhất để xác định người chơi
  - height INTEGER | alias: Chiều cao, Chiều cao người chơi, Chiều cao | values: 182, 170, 172 | -- Chiều cao của người chơi (trong cm)
Table: Player_Attributes (Thông Tin Đội Thuyền Viên)
  - id INTEGER | alias: Mã ID, Mã, ID | values: 1, 2, 3 | -- Mã duy nhất để xác định mỗi bản ghi trong bảng.
  - player_fifa_api_id INTEGER | alias: Mã API FIFA của Đội Thuyền Viên, Mã API FIFA, ID API FIFA | values: 218353, 189615, 186170 | -- Mã duy nhất được cấp bởi FIFA để xác định đội thuyền viên.
  - player_api_id INTEGER | alias: Mã API của Đội Thuyền Viên, Mã API, ID API | values: 505942, 155782, 162549 | -- Mã duy nhất được cấp bởi API để xác định đội thuyền viên.
  - overall_rating INTEGER | alias: Đánh giá chung, Đánh giá tổng thể, Điểm chung | values: 67, 62, 61 | -- Điểm đánh giá tổng thể về kỹ năng và phong cách chơi của đội thuyền viên.
  - short_passing INTEGER | alias: Đánh Dấu Khoảng Cách Ngắn, Đánh Dấu Khoảng Cách Nhỏ, Đánh Dấu Short | values: 61, 60, 71 | -- Tỉ lệ đánh dấu khoảnh cách ngắn của cầu thủ.
  - curve INTEGER | alias: Điểm Uốn, Điểm Uốn Bóng, Điểm Uốn Bola | values: 45, 44, 70 | -- Tỉ lệ uốn bóng thành công của cầu thủ.
  - free_kick_accuracy INTEGER | alias: Tỉ Lệ Đảm Bảo Từ Hậu, Tỉ Lệ Từ Hậu, Tỉ Lệ Free Kick | values: 39, 38, 69 | -- Tỉ lệ ghi bàn từ các tình huống đá phạt trực tiếp.
  - long_passing INTEGER | alias: Đánh Dấu Khoảng Cách Dài, Đánh Dấu Khoảng Cách Lớn, Đánh Dấu Long | values: 64, 63, 68 | -- Tỉ lệ đánh dấu khoảnh cách dài của cầu thủ.
  - ball_control INTEGER | alias: Kỹ Năng Kiểm Soát Bóng, Kiểm Soát Bóng, Kỹ Năng Kiểm Soát | values: 49, 48, 71 | -- Tỉ lệ kiểm soát bóng của cầu thủ trong khi di chuyển.
  - jumping INTEGER | alias: Nâng Tầm, Nâng Tầm, Nâng Dốc | values: 58, 85, 84 | -- Khả năng nhảy cao của cầu thủ.
Foreign keys:
  Match.country_id = Country.None
  Match.league_id = League.None
  Match.home_team_api_id = Team.team_api_id
  Match.away_team_api_id = Team.team_api_id
  Match.home_player_1 = Player.player_api_id
  Match.home_player_2 = Player.player_api_id
  Match.home_player_3 = Player.player_api_id
  Match.home_player_4 = Player.player_api_id
  Match.home_player_5 = Player.player_api_id
  Match.home_player_6 = Player.player_api_id
  Match.home_player_7 = Player.player_api_id
  Match.home_player_8 = Player.player_api_id
  Match.home_player_9 = Player.player_api_id
  Match.home_player_10 = Player.player_api_id
  Match.home_player_11 = Player.player_api_id
  Match.away_player_1 = Player.player_api_id
  Match.away_player_2 = Player.player_api_id
  Match.away_player_3 = Player.player_api_id
  Match.away_player_4 = Player.player_api_id
  Match.away_player_5 = Player.player_api_id
  Match.away_player_6 = Player.player_api_id
  Match.away_player_7 = Player.player_api_id
  Match.away_player_8 = Player.player_api_id
  Match.away_player_9 = Player.player_api_id
  Match.away_player_10 = Player.player_api_id
  Match.away_player_11 = Player.player_api_id
  Player_Attributes.player_fifa_api_id = Player.player_fifa_api_id
  Player_Attributes.player_api_id = Player.player_api_id</t>
        </is>
      </c>
      <c r="H116" s="10" t="inlineStr">
        <is>
          <t>SELECT AVG(t2.overall_rating) AS average_overall_rating
FROM Player AS t1
JOIN Player_Attributes AS t2 ON t1.player_api_id = t2.player_api_id
WHERE t1.height &gt; 170 AND strftime('%Y', t2.date) BETWEEN '2010' AND '2015';</t>
        </is>
      </c>
      <c r="I116" s="10" t="inlineStr">
        <is>
          <t>SELECT CAST(SUM(t2.overall_rating) AS REAL) / COUNT(t2.id) FROM Player AS t1 INNER JOIN Player_Attributes AS t2 ON t1.player_api_id = t2.player_api_id WHERE t1.height &gt; 170 AND STRFTIME('%Y',t2.`date`) &gt;= '2010' AND STRFTIME('%Y',t2.`date`) &lt;= '2015'</t>
        </is>
      </c>
      <c r="J116" s="10" t="inlineStr">
        <is>
          <t>ok</t>
        </is>
      </c>
      <c r="K116" s="10" t="inlineStr">
        <is>
          <t>Sai cột</t>
        </is>
      </c>
      <c r="L116" s="11" t="n"/>
      <c r="M116" s="10">
        <f>IF(L116="","",IF(L116=K116,"Có","Không"))</f>
        <v/>
      </c>
      <c r="N116" s="11" t="n"/>
      <c r="O116" s="11" t="n"/>
      <c r="P116" s="11" t="n"/>
    </row>
    <row r="117" ht="150" customHeight="1">
      <c r="A117" s="10" t="n">
        <v>116</v>
      </c>
      <c r="B117" s="10" t="inlineStr">
        <is>
          <t>C</t>
        </is>
      </c>
      <c r="C117" s="10" t="inlineStr">
        <is>
          <t>ViBIRD</t>
        </is>
      </c>
      <c r="D117" s="10" t="inlineStr">
        <is>
          <t>Qwen2.5-Coder-7B / full</t>
        </is>
      </c>
      <c r="E117" s="10" t="inlineStr">
        <is>
          <t>Tên bệnh của bệnh nhân có mức triglyceride cao nhất trong phạm vi bình thường là gì?</t>
        </is>
      </c>
      <c r="F117" s="10" t="inlineStr">
        <is>
          <t>tên bệnh tương ứng với Diagnosis; mức triglyceride cao nhất trong phạm vi bình thường tương ứng với MAX(TG &lt; 200);</t>
        </is>
      </c>
      <c r="G117" s="10" t="inlineStr">
        <is>
          <t>Table: Examination (Kết quả xét nghiệm)
  - ID INTEGER | alias: Mã xét nghiệm, Số mẫu, Mã bệnh nhân | values: 14872, 48473, 102490 | -- Mã duy nhất để xác định mỗi lần xét nghiệm.
  - Thrombosis INTEGER | alias: Tắc mạch, Tắc máu, Huyết khối | values: 1, 0, 2 | -- Trạng thái tắc mạch trong quá trình kiểm tra.
Table: Laboratory (Kết quả xét nghiệm)
  - ID INTEGER | alias: Mã xét nghiệm, Mã bệnh nhân, Số mẫu | values: 27654, 30609, 43003 | -- Mã duy nhất để xác định mỗi mẫu xét nghiệm.
  - Date DATE | alias: Ngày thực hiện, Ngày xét nghiệm, Ngày thu mẫu | values: 1991-09-11, 1991-09-17, 1991-09-19 | -- Ngày khi mẫu xét nghiệm được thu và phân tích.
  - T-CHO INTEGER | alias: Nồng độ Cholesterol, Cholesterol, Chol | values: 165, 134, 140 | -- Lượng cholesterol trong máu được đo lường.
  - TG INTEGER | alias: Nồng độ Triglyceride, Triglycerid, TG | values: 185, 205, 254 | -- Lượng triglyceride trong máu được đo lường.
  - GLU INTEGER | alias: Nồng độ Glucose, Glucose, Đường huyết | values: 88, 134, 161 | -- Lượng glucose trong máu được đo lường.
Table: Patient (Bệnh nhân)
  - ID INTEGER | alias: Mã bệnh nhân, Mã BN, ID BN | values: 2110, 11408, 12052 | -- Mã định danh duy nhất cho mỗi bệnh nhân
  - SEX TEXT | alias: Giới tính, Giới, Phái | values: F, M,  | -- Giới tính của bệnh nhân (nam hoặc nữ)
  - Birthday DATE | alias: Ngày sinh, Ngày ra đời, Ngày sinh nhật | values: 1934-02-13, 1937-05-02, 1956-04-14 | -- Ngày sinh của bệnh nhân
  - Description DATE | alias: Ngày mô tả, Ngày ghi chú, Ngày mô tả | values: 1994-02-14, 1996-12-01, 1991-08-13 | -- Ngày mô tả trong hồ sơ bệnh án
  - First Date DATE | alias: Ngày đầu tiên, Ngày bắt đầu, Ngày đầu | values: 1993-02-10, 1973-01-01, 1992-02-03 | -- Ngày đầu tiên ghi nhận bệnh lý của bệnh nhân
  - Admission TEXT | alias: Trạng thái nhập viện, Trạng thái, Tình trạng | values: +, -,  | -- Trạng thái nhập viện (+ cho nhập viện, - cho không nhập viện)
Foreign keys:
  Examination.ID = Patient.ID
  Laboratory.ID = Patient.ID</t>
        </is>
      </c>
      <c r="H117" s="10" t="inlineStr">
        <is>
          <t>SELECT T2.Description 
FROM Laboratory AS T1 
JOIN Patient AS T2 ON T1.ID = T2.ID 
WHERE T1.TG = (SELECT MAX(TG) FROM Laboratory WHERE TG &lt; 200);</t>
        </is>
      </c>
      <c r="I117" s="10" t="inlineStr">
        <is>
          <t>SELECT T1.Diagnosis FROM Examination AS T1 INNER JOIN Laboratory AS T2 ON T1.ID = T2.ID WHERE T2.TG &lt; 200 ORDER BY T2.TG DESC LIMIT 1</t>
        </is>
      </c>
      <c r="J117" s="10" t="inlineStr">
        <is>
          <t>ok</t>
        </is>
      </c>
      <c r="K117" s="10" t="inlineStr">
        <is>
          <t>Chọn sai bảng</t>
        </is>
      </c>
      <c r="L117" s="11" t="n"/>
      <c r="M117" s="10">
        <f>IF(L117="","",IF(L117=K117,"Có","Không"))</f>
        <v/>
      </c>
      <c r="N117" s="11" t="n"/>
      <c r="O117" s="11" t="n"/>
      <c r="P117" s="11" t="n"/>
    </row>
    <row r="118" ht="150" customHeight="1">
      <c r="A118" s="10" t="n">
        <v>117</v>
      </c>
      <c r="B118" s="10" t="inlineStr">
        <is>
          <t>C</t>
        </is>
      </c>
      <c r="C118" s="10" t="inlineStr">
        <is>
          <t>ViBIRD</t>
        </is>
      </c>
      <c r="D118" s="10" t="inlineStr">
        <is>
          <t>Qwen2.5-Coder-7B / full</t>
        </is>
      </c>
      <c r="E118" s="10" t="inlineStr">
        <is>
          <t>Maya Mclean có tham gia sự kiện 'Women's Soccer' không?</t>
        </is>
      </c>
      <c r="F118" s="10" t="inlineStr">
        <is>
          <t>Maya Mclean là tên đầy đủ; tên đầy đủ tương ứng với first_name, last_name; 'Women's Soccer' là event_name</t>
        </is>
      </c>
      <c r="G118"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notes TEXT | alias: Ghi Chú, Ghi Chú, Ghi Chú Sự Kiện | values: All active members can vote for new officers between 4pm-8pm., Attend Women's soccer game as a group., Semester social event. Optional attendance. | -- Thông tin bổ sung về sự kiện.
Table: expense (Phiếu chi tiêu)
  - expense_id TEXT | alias: Mã phiếu chi tiêu, ID phiếu chi tiêu, Mã ghi chú | values: rec017x6R3hQqkLAo, rec1nIjoZKTYayqZ6, rec1oMgNFt7Y0G40x | -- Mã duy nhất để xác định mỗi phiếu chi tiêu
  - link_to_member TEXT | alias: Liên kết thành viên, ID thành viên, Thành viên liên quan | values: rec4BLdZHS2Blfp4v, recro8T1MPMwRadVH, recD078PnS3x2doBe | -- ID của thành viên liên quan đến phiếu chi tiêu
  - link_to_budget TEXT | alias: Liên kết ngân sách, ID ngân sách, Ngân sách liên quan | values: recvKTAWAFKkVNnXQ, recy8KY5bUdzF81vv, recwXIiKoBMjXJsGZ | -- ID của ngân sách liên quan đến phiếu chi tiêu
Table: member (Thành viên)
  - member_id TEXT | alias: Mã thành viên, ID thành viên, Số thành viên | values: rec1x5zBFIqoOuPW8, rec280Sk7o31iG0Tx, rec28ORZgcm1dtqBZ | -- Mã duy nhất xác định mỗi thành viên.
  - last_name TEXT | alias: Tên, Tên thật, Tên đầy đủ | values: Sanders, Gilmour, Guidi | -- Tên của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expense.link_to_member = member.member_id
  expense.link_to_budget = budget.budget_id
  member.zip = zip_code.zip_code
  member.link_to_major = major.major_id</t>
        </is>
      </c>
      <c r="H118" s="10" t="inlineStr">
        <is>
          <t>SELECT CASE WHEN EXISTS (
    SELECT 1 
    FROM attendance 
    JOIN event ON attendance.link_to_event = event.event_id 
    JOIN member ON attendance.link_to_member = member.member_id 
    WHERE member.first_name = 'Maya' AND member.last_name = 'Mclean' AND event.event_name = 'Women''s Soccer'
) THEN 'Có' ELSE 'Không' END AS has_attended;</t>
        </is>
      </c>
      <c r="I118" s="10" t="inlineStr">
        <is>
          <t>SELECT CASE WHEN T3.event_name = 'Women''s Soccer' THEN 'YES' END AS result FROM member AS T1 INNER JOIN attendance AS T2 ON T1.member_id = T2.link_to_member INNER JOIN event AS T3 ON T2.link_to_event = T3.event_id WHERE T1.first_name = 'Maya' AND T1.last_name = 'Mclean'</t>
        </is>
      </c>
      <c r="J118" s="10" t="inlineStr">
        <is>
          <t>ok</t>
        </is>
      </c>
      <c r="K118" s="10" t="inlineStr">
        <is>
          <t>Sai điều kiện hoặc giá trị</t>
        </is>
      </c>
      <c r="L118" s="11" t="n"/>
      <c r="M118" s="10">
        <f>IF(L118="","",IF(L118=K118,"Có","Không"))</f>
        <v/>
      </c>
      <c r="N118" s="11" t="n"/>
      <c r="O118" s="11" t="n"/>
      <c r="P118" s="11" t="n"/>
    </row>
    <row r="119" ht="150" customHeight="1">
      <c r="A119" s="10" t="n">
        <v>118</v>
      </c>
      <c r="B119" s="10" t="inlineStr">
        <is>
          <t>C</t>
        </is>
      </c>
      <c r="C119" s="10" t="inlineStr">
        <is>
          <t>ViBIRD</t>
        </is>
      </c>
      <c r="D119" s="10" t="inlineStr">
        <is>
          <t>Qwen2.5-Coder-7B / full</t>
        </is>
      </c>
      <c r="E119" s="10" t="inlineStr">
        <is>
          <t>Hãy nêu danh mục các sự kiện được tổ chức tại MU 215.</t>
        </is>
      </c>
      <c r="F119" s="10" t="inlineStr">
        <is>
          <t>được tổ chức tại MU 215 tương ứng với location = 'MU 215'</t>
        </is>
      </c>
      <c r="G119" s="10" t="inlineStr">
        <is>
          <t>Table: attendance (Danh_sách_tham_gia)
  - link_to_event TEXT | alias: Liên_kết_sự_khảo, Đường_link_sự_khảo, Liên_kết_sự_khám_phá | values: rec2N69DMcrqN9PJC, rec5XDvJLyxDsGZWc, recEVTik3MlqbvLFi | -- Đường liên kết đến sự kiện được tham gia.
  - link_to_member TEXT | alias: Liên_kết_thành viên, Đường_link_thành_viên, Liên_kết_đăng_ký | values: recD078PnS3x2doBe, recP6DJPyi5donvXL, rec28ORZgcm1dtqBZ | -- Đường liên kết đến thông tin thành viên tham gia sự kiện.
Table: budget (Bảng dự toán)
  - budget_id TEXT | alias: Mã dự toán, ID dự toán, Mã dự toán | values: rec0QmEc3cSQFQ6V2, rec1bG6HSft7XIvTP, rec1z6ISJU2HdIsVm | -- Mã duy nhất để xác định mỗi bản ghi trong bảng dự toán.
  - event_status TEXT | alias: Trạng thái sự kiện, Trạng thái hoạt động, Trạng thái tổ chức | values: Closed, Open, Planning | -- Trạng thái hiện tại của sự kiện liên quan đến dự toán này.
  - link_to_event TEXT | alias: Liên kết sự kiện, Đường dẫn sự kiện, Liên kết tổ chức | values: recI43CzsZ0Q625ma, recggMW2eyCYceNcy, recJ4Witp9tpjaugn | -- Liên kết đến thông tin chi tiết về sự kiện liên quan đến dự toán này.
Table: event (Sự Kiện)
  - event_id TEXT | alias: Mã Sự Kiện, ID Sự Kiện, Số ID Sự Kiện | values: rec0Si5cQ4rJRVzd6, rec0akZnLLpGUloLH, rec0dZPcWXF0QjNnE | -- Mã duy nhất xác định mỗi sự kiện.
  - event_name TEXT | alias: Tên Sự Kiện, Tên Sự Kiện, Tên Sự Kiện Độc Lập | values: March Meeting, Officers meeting - January, Spring Elections | -- Tên chính thức của sự kiện.
  - event_date TEXT | alias: Ngày Thời Gian Sự Kiện, Thời Gian Sự Kiện, Ngày Sự Kiện | values: 2020-03-10T12:00:00, 2020-01-14T09:30:00, 2019-11-24T09:00:00 | -- Ngày và thời gian diễn ra sự kiện.
  - type TEXT | alias: Loại Sự Kiện, Kiểu Sự Kiện, Loại Sự Kiện Độc Lập | values: Meeting, Election, Game | -- Loại sự kiện như họp, bầu cử, trò chơi.
  - notes TEXT | alias: Ghi Chú, Ghi Chú, Ghi Chú Sự Kiện | values: All active members can vote for new officers between 4pm-8pm., Attend Women's soccer game as a group., Semester social event. Optional attendance. | -- Thông tin bổ sung về sự kiện.
  - location TEXT | alias: Địa Điểm, Địa Điểm Sự Kiện, Địa Điểm | values: MU 215, Campus Soccer/Lacrosse stadium, 900 E. Washington St. | -- Địa điểm tổ chức sự kiện.
Table: member (Thành viên)
  - member_id TEXT | alias: Mã thành viên, ID thành viên, Số thành viên | values: rec1x5zBFIqoOuPW8, rec280Sk7o31iG0Tx, rec28ORZgcm1dtqBZ | -- Mã duy nhất xác định mỗi thành viên.
  - email TEXT | alias: Email, Địa chỉ email, Email liên hệ | values: angela.sanders@lpu.edu, grant.gilmour@lpu.edu, luisa.guidi@lpu.edu | -- Địa chỉ email của thành viên.
  - zip INTEGER | alias: Mã bưu chính, Mã ZIP, Mã bưu điện | values: 55108, 29440, 10002 | -- Mã bưu chính của địa chỉ liên lạc của thành viên.
  - link_to_major TEXT | alias: Liên kết đến chuyên ngành, Liên kết chuyên ngành, Chuyên ngành | values: recxK3MHQFbR9J5uO, rec7BxKpjJ7bNph3O, recdIBgeU38UbV2sy | -- Liên kết đến thông tin về chuyên ngành của thành viên.
Foreign keys:
  attendance.link_to_event = event.event_id
  attendance.link_to_member = member.member_id
  budget.link_to_event = event.event_id
  member.zip = zip_code.zip_code
  member.link_to_major = major.major_id</t>
        </is>
      </c>
      <c r="H119" s="10" t="inlineStr">
        <is>
          <t>SELECT event_name FROM event WHERE location = 'MU 215';</t>
        </is>
      </c>
      <c r="I119" s="10" t="inlineStr">
        <is>
          <t>SELECT T2.category FROM event AS T1 INNER JOIN budget AS T2 ON T1.event_id = T2.link_to_event WHERE T1.location = 'MU 215'</t>
        </is>
      </c>
      <c r="J119" s="10" t="inlineStr">
        <is>
          <t>ok</t>
        </is>
      </c>
      <c r="K119" s="10" t="inlineStr">
        <is>
          <t>Chọn sai bảng</t>
        </is>
      </c>
      <c r="L119" s="11" t="n"/>
      <c r="M119" s="10">
        <f>IF(L119="","",IF(L119=K119,"Có","Không"))</f>
        <v/>
      </c>
      <c r="N119" s="11" t="n"/>
      <c r="O119" s="11" t="n"/>
      <c r="P119" s="11" t="n"/>
    </row>
    <row r="120" ht="150" customHeight="1">
      <c r="A120" s="10" t="n">
        <v>119</v>
      </c>
      <c r="B120" s="10" t="inlineStr">
        <is>
          <t>C</t>
        </is>
      </c>
      <c r="C120" s="10" t="inlineStr">
        <is>
          <t>ViBIRD</t>
        </is>
      </c>
      <c r="D120" s="10" t="inlineStr">
        <is>
          <t>Qwen2.5-Coder-7B / full</t>
        </is>
      </c>
      <c r="E120" s="10" t="inlineStr">
        <is>
          <t>; Difference in annual average = LAM's annual average - KAM's annual average; Difference in annual average = KAM's annual average - SME's annual average;</t>
        </is>
      </c>
      <c r="F120" s="10" t="inlineStr">
        <is>
          <t>Translate both fields to Vietnamese:</t>
        </is>
      </c>
      <c r="G120" s="10"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Table: products (Sản phẩm)
  - ProductID INTEGER | alias: Mã sản phẩm, ID sản phẩm, Số hiệu sản phẩm | values: 1, 2, 3 | -- Mã duy nhất xác định mỗi sản phẩm
  - Description TEXT | alias: Mô tả, Giải thích, Tóm tắt | values: Rucní zadání, Nafta, Special | -- Mô tả ngắn gọn về tính năng hoặc loại sản phẩm
Table: transactions_1k (Giao_dịch_1000)
  - TransactionID INTEGER | alias: Mã_giao_dịch, Mã giao dịch, ID giao dịch | values: 1, 2, 3 | -- Mã duy nhất để xác định mỗi giao dịch
  - Date DATE | alias: Ngày, Ngày giao dịch, Ngày thực hiện | values: 2012-08-24, 2012-08-23, 2012-08-25 | -- Ngày thực hiện giao dịch
  - Time TEXT | alias: Thời_gian, Giờ, Thời điểm | values: 09:41:00, 10:03:00, 13:53:00 | -- Thời gian thực hiện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0" s="10" t="inlineStr">
        <is>
          <t>SELECT 
    (AVG(CASE WHEN c.Segment = 'LAM' THEN y.Consumption ELSE NULL END) - AVG(CASE WHEN c.Segment = 'KAM' THEN y.Consumption ELSE NULL END)) AS diff_LAM_KAM,
    (AVG(CASE WHEN c.Segment = 'KAM' THEN y.Consumption ELSE NULL END) - AVG(CASE WHEN c.Segment = 'SME' THEN y.Consumption ELSE NULL END)) AS diff_KAM_SME
FROM 
    yearmonth y
JOIN 
    customers c ON y.CustomerID = c.CustomerID;</t>
        </is>
      </c>
      <c r="I120" s="10"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J120" s="10" t="inlineStr">
        <is>
          <t>ok</t>
        </is>
      </c>
      <c r="K120" s="10" t="inlineStr">
        <is>
          <t>Sai cột</t>
        </is>
      </c>
      <c r="L120" s="11" t="n"/>
      <c r="M120" s="10">
        <f>IF(L120="","",IF(L120=K120,"Có","Không"))</f>
        <v/>
      </c>
      <c r="N120" s="11" t="n"/>
      <c r="O120" s="11" t="n"/>
      <c r="P120" s="11" t="n"/>
    </row>
    <row r="121" ht="150" customHeight="1">
      <c r="A121" s="10" t="n">
        <v>120</v>
      </c>
      <c r="B121" s="10" t="inlineStr">
        <is>
          <t>C</t>
        </is>
      </c>
      <c r="C121" s="10" t="inlineStr">
        <is>
          <t>ViBIRD</t>
        </is>
      </c>
      <c r="D121" s="10" t="inlineStr">
        <is>
          <t>Qwen2.5-Coder-7B / full</t>
        </is>
      </c>
      <c r="E121" s="10" t="inlineStr">
        <is>
          <t>Chi tiêu hàng tháng lớn nhất của những khách hàng sử dụng euro là bao nhiêu?</t>
        </is>
      </c>
      <c r="F121" s="10" t="inlineStr">
        <is>
          <t>Chi tiêu hàng tháng = SUM(consumption) / 12</t>
        </is>
      </c>
      <c r="G121" s="10" t="inlineStr">
        <is>
          <t>Table: customers (Khách hàng)
  - CustomerID INTEGER | alias: Mã khách hàng, ID khách hàng, Số khách hàng | values: 3, 5, 6 | -- Mã duy nhất xác định mỗi khách hàng
  - Segment TEXT | alias: Phân khúc, Nhóm khách hàng, Loại khách hàng | values: SME, LAM, KAM | -- Phân loại khách hàng dựa trên đặc điểm kinh doanh
  - Currency TEXT | alias: Đơn vị tiền tệ, Tiền tệ, ĐVT tiền tệ | values: EUR, CZK | -- Loại tiền tệ được sử dụng trong giao dịch với khách hàng
Table: transactions_1k (Giao_dịch_1000)
  - TransactionID INTEGER | alias: Mã_giao_dịch, Mã giao dịch, ID giao dịch | values: 1, 2, 3 | -- Mã duy nhất để xác định mỗi giao dịch
  - CustomerID INTEGER | alias: Mã_khách_hàng, Mã khách, ID khách hàng | values: 31543, 46707, 7654 | -- Mã duy nhất để xác định mỗi khách hàng
  - CardID INTEGER | alias: Mã_thẻ, Mã thẻ tín dụng, Mã thẻ ghi nợ | values: 486621, 550134, 684220 | -- Mã thẻ được sử dụng trong giao dịch
  - ProductID INTEGER | alias: Mã_sản_phẩm, Mã sản phẩm, ID sản phẩm | values: 2, 23, 5 | -- Mã sản phẩm được mua trong giao dịch
  - Amount INTEGER | alias: Số_lượng, Số lượng mua, Số lượng sản phẩm | values: 28, 18, 1 | -- Số lượng sản phẩm được mua trong giao dịch
  - Price REAL | alias: Giá, Giá tiền, Giá bán | values: 672.64, 430.72, 121.99 | -- Giá của sản phẩm trong giao dịch
Table: yearmonth (Tháng_Năm)
  - CustomerID INTEGER | alias: MãKháchHàng, IDKháchHàng, KHID | values: 39, 63, 172 | -- Mã duy nhất xác định khách hàng trong hệ thống.
  - Date TEXT | alias: NgàyTháng, ThángNăm, Thời Gian | values: 201112, 201201, 201202 | -- Ký hiệu năm tháng (ví dụ: 201112 cho tháng 12 năm 2011).
  - Consumption REAL | alias: SửDụng, Tiêu thụ, Dùng | values: 528.3, 1598.28, 1931.36 | -- Số lượng tiêu thụ hoặc sử dụng trong đơn vị đo lường tương ứng.
Foreign keys:
  yearmonth.CustomerID = customers.None</t>
        </is>
      </c>
      <c r="H121" s="10" t="inlineStr">
        <is>
          <t>SELECT AVG(T2.Consumption) AS MonthlySpending
FROM customers AS T1
JOIN yearmonth AS T2 ON T1.CustomerID = T2.CustomerID
WHERE T1.Currency = 'EUR'
GROUP BY T1.CustomerID
ORDER BY MonthlySpending DESC
LIMIT 1;</t>
        </is>
      </c>
      <c r="I121" s="10" t="inlineStr">
        <is>
          <t>SELECT SUM(T2.Consumption) / 12 AS MonthlyConsumption FROM customers AS T1 INNER JOIN yearmonth AS T2 ON T1.CustomerID = T2.CustomerID WHERE T1.Currency = 'EUR' GROUP BY T1.CustomerID ORDER BY MonthlyConsumption DESC LIMIT 1</t>
        </is>
      </c>
      <c r="J121" s="10" t="inlineStr">
        <is>
          <t>ok</t>
        </is>
      </c>
      <c r="K121" s="10" t="inlineStr">
        <is>
          <t>Sai cột</t>
        </is>
      </c>
      <c r="L121" s="11" t="n"/>
      <c r="M121" s="10">
        <f>IF(L121="","",IF(L121=K121,"Có","Không"))</f>
        <v/>
      </c>
      <c r="N121" s="11" t="n"/>
      <c r="O121" s="11" t="n"/>
      <c r="P121" s="11" t="n"/>
    </row>
  </sheetData>
  <dataValidations count="3">
    <dataValidation sqref="L2:L121" showDropDown="0" showInputMessage="0" showErrorMessage="1" allowBlank="1" error="Chọn một giá trị trong danh sách." type="list">
      <formula1>'Danh mục'!$A$2:$A$9</formula1>
    </dataValidation>
    <dataValidation sqref="N2:N121" showDropDown="0" showInputMessage="0" showErrorMessage="1" allowBlank="1" error="Chọn một giá trị trong danh sách." type="list">
      <formula1>'Danh mục'!$B$2:$B$3</formula1>
    </dataValidation>
    <dataValidation sqref="O2:O121" showDropDown="0" showInputMessage="0" showErrorMessage="1" allowBlank="1" error="Chọn một giá trị trong danh sách." type="list">
      <formula1>'Danh mục'!$B$2:$B$3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16" customWidth="1" min="3" max="3"/>
  </cols>
  <sheetData>
    <row r="1">
      <c r="A1" s="2" t="inlineStr">
        <is>
          <t>Chỉ số</t>
        </is>
      </c>
      <c r="B1" s="2" t="inlineStr">
        <is>
          <t>Giá trị</t>
        </is>
      </c>
    </row>
    <row r="2">
      <c r="A2" s="12" t="inlineStr">
        <is>
          <t>Số dòng đã chấm</t>
        </is>
      </c>
      <c r="B2" s="12">
        <f>COUNTA('Lỗi'!L2:L121)</f>
        <v/>
      </c>
    </row>
    <row r="3">
      <c r="A3" s="12" t="inlineStr">
        <is>
          <t>Tỉ lệ nhãn tự động đúng</t>
        </is>
      </c>
      <c r="B3" s="13">
        <f>IF(B2=0,"",COUNTIF('Lỗi'!M2:M121,"Có")/B2)</f>
        <v/>
      </c>
    </row>
    <row r="4">
      <c r="A4" s="12" t="inlineStr">
        <is>
          <t>Số câu đề xuất làm ví dụ</t>
        </is>
      </c>
      <c r="B4" s="12">
        <f>COUNTIF('Lỗi'!O2:O121,"Có")</f>
        <v/>
      </c>
    </row>
    <row r="5">
      <c r="A5" s="12" t="inlineStr">
        <is>
          <t>Số câu hỏi/SQL tham chiếu có vấn đề</t>
        </is>
      </c>
      <c r="B5" s="12">
        <f>COUNTIF('Lỗi'!N2:N121,"Có")</f>
        <v/>
      </c>
    </row>
    <row r="7">
      <c r="A7" s="2" t="inlineStr">
        <is>
          <t>Nhãn</t>
        </is>
      </c>
      <c r="B7" s="2" t="inlineStr">
        <is>
          <t>Nhãn tự động</t>
        </is>
      </c>
      <c r="C7" s="2" t="inlineStr">
        <is>
          <t>Nhãn người chấm</t>
        </is>
      </c>
    </row>
    <row r="8">
      <c r="A8" s="12" t="inlineStr">
        <is>
          <t>SQL không chạy được</t>
        </is>
      </c>
      <c r="B8" s="12">
        <f>COUNTIF('Lỗi'!K2:K121,A8)</f>
        <v/>
      </c>
      <c r="C8" s="12">
        <f>COUNTIF('Lỗi'!L2:L121,A8)</f>
        <v/>
      </c>
    </row>
    <row r="9">
      <c r="A9" s="12" t="inlineStr">
        <is>
          <t>Thiếu bảng cần thiết trong schema</t>
        </is>
      </c>
      <c r="B9" s="12">
        <f>COUNTIF('Lỗi'!K2:K121,A9)</f>
        <v/>
      </c>
      <c r="C9" s="12">
        <f>COUNTIF('Lỗi'!L2:L121,A9)</f>
        <v/>
      </c>
    </row>
    <row r="10">
      <c r="A10" s="12" t="inlineStr">
        <is>
          <t>Chọn sai bảng</t>
        </is>
      </c>
      <c r="B10" s="12">
        <f>COUNTIF('Lỗi'!K2:K121,A10)</f>
        <v/>
      </c>
      <c r="C10" s="12">
        <f>COUNTIF('Lỗi'!L2:L121,A10)</f>
        <v/>
      </c>
    </row>
    <row r="11">
      <c r="A11" s="12" t="inlineStr">
        <is>
          <t>Sai cột</t>
        </is>
      </c>
      <c r="B11" s="12">
        <f>COUNTIF('Lỗi'!K2:K121,A11)</f>
        <v/>
      </c>
      <c r="C11" s="12">
        <f>COUNTIF('Lỗi'!L2:L121,A11)</f>
        <v/>
      </c>
    </row>
    <row r="12">
      <c r="A12" s="12" t="inlineStr">
        <is>
          <t>Sai hàm gộp hoặc GROUP BY</t>
        </is>
      </c>
      <c r="B12" s="12">
        <f>COUNTIF('Lỗi'!K2:K121,A12)</f>
        <v/>
      </c>
      <c r="C12" s="12">
        <f>COUNTIF('Lỗi'!L2:L121,A12)</f>
        <v/>
      </c>
    </row>
    <row r="13">
      <c r="A13" s="12" t="inlineStr">
        <is>
          <t>Sai điều kiện hoặc giá trị</t>
        </is>
      </c>
      <c r="B13" s="12">
        <f>COUNTIF('Lỗi'!K2:K121,A13)</f>
        <v/>
      </c>
      <c r="C13" s="12">
        <f>COUNTIF('Lỗi'!L2:L121,A13)</f>
        <v/>
      </c>
    </row>
    <row r="14">
      <c r="A14" s="12" t="inlineStr">
        <is>
          <t>Sai sắp xếp hoặc LIMIT</t>
        </is>
      </c>
      <c r="B14" s="12">
        <f>COUNTIF('Lỗi'!K2:K121,A14)</f>
        <v/>
      </c>
      <c r="C14" s="12">
        <f>COUNTIF('Lỗi'!L2:L121,A14)</f>
        <v/>
      </c>
    </row>
    <row r="15">
      <c r="A15" s="12" t="inlineStr">
        <is>
          <t>Khác</t>
        </is>
      </c>
      <c r="B15" s="12">
        <f>COUNTIF('Lỗi'!K2:K121,A15)</f>
        <v/>
      </c>
      <c r="C15" s="12">
        <f>COUNTIF('Lỗi'!L2:L121,A15)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34" customWidth="1" min="2" max="2"/>
  </cols>
  <sheetData>
    <row r="1">
      <c r="A1" s="2" t="inlineStr">
        <is>
          <t>Nhãn lỗi</t>
        </is>
      </c>
      <c r="B1" s="2" t="inlineStr">
        <is>
          <t>Có/Không</t>
        </is>
      </c>
    </row>
    <row r="2">
      <c r="A2" s="12" t="inlineStr">
        <is>
          <t>SQL không chạy được</t>
        </is>
      </c>
      <c r="B2" s="12" t="inlineStr">
        <is>
          <t>Có</t>
        </is>
      </c>
    </row>
    <row r="3">
      <c r="A3" s="12" t="inlineStr">
        <is>
          <t>Thiếu bảng cần thiết trong schema</t>
        </is>
      </c>
      <c r="B3" s="12" t="inlineStr">
        <is>
          <t>Không</t>
        </is>
      </c>
    </row>
    <row r="4">
      <c r="A4" s="12" t="inlineStr">
        <is>
          <t>Chọn sai bảng</t>
        </is>
      </c>
    </row>
    <row r="5">
      <c r="A5" s="12" t="inlineStr">
        <is>
          <t>Sai cột</t>
        </is>
      </c>
    </row>
    <row r="6">
      <c r="A6" s="12" t="inlineStr">
        <is>
          <t>Sai hàm gộp hoặc GROUP BY</t>
        </is>
      </c>
    </row>
    <row r="7">
      <c r="A7" s="12" t="inlineStr">
        <is>
          <t>Sai điều kiện hoặc giá trị</t>
        </is>
      </c>
    </row>
    <row r="8">
      <c r="A8" s="12" t="inlineStr">
        <is>
          <t>Sai sắp xếp hoặc LIMIT</t>
        </is>
      </c>
    </row>
    <row r="9">
      <c r="A9" s="12"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2026-10-30T08:41:42Z</dcterms:created>
  <dcterms:modified xsi:type="dcterms:W3CDTF">2026-10-30T08:41:42Z</dcterms:modified>
</cp:coreProperties>
</file>