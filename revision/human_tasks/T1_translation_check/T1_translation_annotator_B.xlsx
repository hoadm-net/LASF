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ướng dẫn" sheetId="1" state="visible" r:id="rId1"/>
    <sheet name="Tổng hợp" sheetId="2" state="visible" r:id="rId2"/>
    <sheet name="Danh mục" sheetId="3" state="visible" r:id="rId3"/>
    <sheet name="ViSpider" sheetId="4" state="visible" r:id="rId4"/>
    <sheet name="ViBIRD"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Arial"/>
      <b val="1"/>
      <sz val="14"/>
    </font>
    <font>
      <name val="Arial"/>
      <b val="1"/>
    </font>
    <font>
      <name val="Arial"/>
    </font>
    <font>
      <name val="Arial"/>
      <i val="1"/>
    </font>
    <font>
      <name val="Arial"/>
      <b val="1"/>
      <color rgb="00FFFFFF"/>
    </font>
    <font>
      <name val="Arial"/>
      <sz val="10"/>
    </font>
    <font>
      <name val="Arial"/>
      <b val="1"/>
      <sz val="12"/>
    </font>
  </fonts>
  <fills count="6">
    <fill>
      <patternFill/>
    </fill>
    <fill>
      <patternFill patternType="gray125"/>
    </fill>
    <fill>
      <patternFill patternType="solid">
        <fgColor rgb="00FFF2CC"/>
      </patternFill>
    </fill>
    <fill>
      <patternFill patternType="solid">
        <fgColor rgb="001F3864"/>
      </patternFill>
    </fill>
    <fill>
      <patternFill patternType="solid">
        <fgColor rgb="00BF8F00"/>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4" fillId="0" borderId="0" applyAlignment="1" pivotButton="0" quotePrefix="0" xfId="0">
      <alignment vertical="top" wrapText="1"/>
    </xf>
    <xf numFmtId="0" fontId="7" fillId="0" borderId="0" pivotButton="0" quotePrefix="0" xfId="0"/>
    <xf numFmtId="0" fontId="3" fillId="0" borderId="0" pivotButton="0" quotePrefix="0" xfId="0"/>
    <xf numFmtId="2" fontId="3" fillId="0" borderId="0" pivotButton="0" quotePrefix="0" xfId="0"/>
    <xf numFmtId="164" fontId="3" fillId="0" borderId="0" pivotButton="0" quotePrefix="0" xfId="0"/>
    <xf numFmtId="0" fontId="5"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5" borderId="1" applyAlignment="1" pivotButton="0" quotePrefix="0" xfId="0">
      <alignment vertical="top" wrapText="1"/>
    </xf>
    <xf numFmtId="0" fontId="6"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6" customWidth="1" min="1" max="1"/>
    <col width="110" customWidth="1" min="2" max="2"/>
  </cols>
  <sheetData>
    <row r="1">
      <c r="A1" s="1" t="inlineStr">
        <is>
          <t>Phiếu chấm T1 — Chất lượng bản dịch ViSpider / ViBIRD</t>
        </is>
      </c>
    </row>
    <row r="3">
      <c r="A3" s="2" t="inlineStr">
        <is>
          <t>Người chấm</t>
        </is>
      </c>
      <c r="B3" t="inlineStr">
        <is>
          <t>Người chấm B</t>
        </is>
      </c>
    </row>
    <row r="4">
      <c r="A4" s="2" t="inlineStr">
        <is>
          <t>Họ tên</t>
        </is>
      </c>
      <c r="B4" s="3" t="n"/>
    </row>
    <row r="5">
      <c r="A5" s="2" t="inlineStr">
        <is>
          <t>Ngày hoàn thành</t>
        </is>
      </c>
      <c r="B5" s="3" t="n"/>
    </row>
    <row r="7">
      <c r="A7" s="4" t="inlineStr">
        <is>
          <t>Mục đích</t>
        </is>
      </c>
      <c r="B7" s="5" t="inlineStr">
        <is>
          <t>Đánh giá chất lượng bản dịch tiếng Việt của câu hỏi (và evidence với ViBIRD) so với câu gốc tiếng Anh. Kết quả dùng để báo cáo chất lượng bộ dữ liệu trong bài báo.</t>
        </is>
      </c>
    </row>
    <row r="8">
      <c r="A8" s="4" t="inlineStr">
        <is>
          <t>Cách làm</t>
        </is>
      </c>
      <c r="B8" s="5" t="inlineStr">
        <is>
          <t>Mỗi dòng ở sheet ViSpider và ViBIRD là một câu. Đọc câu gốc tiếng Anh, bản dịch tiếng Việt, và SQL tham chiếu (để hiểu câu hỏi thực sự hỏi gì). Chỉ điền vào các ô NỀN VÀNG. Các ô nền xám không sửa.</t>
        </is>
      </c>
    </row>
    <row r="9">
      <c r="A9" s="5" t="inlineStr"/>
      <c r="B9" s="5" t="inlineStr">
        <is>
          <t>Hai người chấm làm ĐỘC LẬP, không trao đổi kết quả với nhau cho đến khi cả hai nộp file.</t>
        </is>
      </c>
    </row>
    <row r="10">
      <c r="A10" s="4" t="inlineStr">
        <is>
          <t>Độ chính xác nghĩa (1–3)</t>
        </is>
      </c>
      <c r="B10" s="5" t="inlineStr">
        <is>
          <t>3 = Đúng và đủ nghĩa so với câu gốc.
2 = Có sai lệch nhỏ (từ ngữ, sắc thái) nhưng KHÔNG làm thay đổi câu SQL đúng.
1 = Sai nghĩa, thiếu hoặc thêm thông tin khiến câu SQL đúng phải khác đi.</t>
        </is>
      </c>
    </row>
    <row r="11">
      <c r="A11" s="4" t="inlineStr">
        <is>
          <t>Độ tự nhiên (1–3)</t>
        </is>
      </c>
      <c r="B11" s="5" t="inlineStr">
        <is>
          <t>3 = Câu tiếng Việt tự nhiên, giống người Việt hỏi.
2 = Hiểu được nhưng hơi cứng, mang dấu vết dịch máy.
1 = Khó hiểu hoặc sai ngữ pháp rõ rệt.</t>
        </is>
      </c>
    </row>
    <row r="12">
      <c r="A12" s="4" t="inlineStr">
        <is>
          <t>Lỗi ảnh hưởng SQL?</t>
        </is>
      </c>
      <c r="B12" s="5" t="inlineStr">
        <is>
          <t>Có = nếu chỉ đọc bản dịch tiếng Việt, một người viết SQL giỏi sẽ viết ra câu SQL KHÁC với SQL tham chiếu (ví dụ: đổi giá trị lọc, mất điều kiện, sai số lượng, sai so sánh lớn/nhỏ).</t>
        </is>
      </c>
    </row>
    <row r="13">
      <c r="A13" s="4" t="inlineStr">
        <is>
          <t>Loại lỗi</t>
        </is>
      </c>
      <c r="B13" s="5" t="inlineStr">
        <is>
          <t>Chọn loại lỗi chính trong danh sách. Nếu không có lỗi, chọn "Không có lỗi".</t>
        </is>
      </c>
    </row>
    <row r="14">
      <c r="A14" s="4" t="inlineStr">
        <is>
          <t>Giá trị và tên riêng</t>
        </is>
      </c>
      <c r="B14" s="5" t="inlineStr">
        <is>
          <t>Giá trị dùng để lọc trong SQL (tên người, địa danh, mã, số) phải được giữ nguyên hoặc tương ứng rõ ràng. Ví dụ "Alameda" phải còn là "Alameda". Nếu bị dịch hoặc đổi khiến SQL không còn khớp thì chọn "Sai/đổi giá trị hoặc tên riêng" và đánh dấu Lỗi ảnh hưởng SQL = Có.</t>
        </is>
      </c>
    </row>
    <row r="15">
      <c r="A15" s="4" t="inlineStr">
        <is>
          <t>Evidence (chỉ ViBIRD)</t>
        </is>
      </c>
      <c r="B15" s="5" t="inlineStr">
        <is>
          <t>Chấm độ chính xác của bản dịch evidence theo cùng thang 1–3. Evidence chứa tên cột/công thức: tên cột trong dấu ` ` phải giữ nguyên. Nếu evidence gốc trống thì để trống.</t>
        </is>
      </c>
    </row>
    <row r="16">
      <c r="A16" s="4" t="inlineStr">
        <is>
          <t>Bản dịch đề xuất</t>
        </is>
      </c>
      <c r="B16" s="5" t="inlineStr">
        <is>
          <t>Không bắt buộc. Chỉ ghi khi bạn chấm Độ chính xác = 1 hoặc 2.</t>
        </is>
      </c>
    </row>
    <row r="17">
      <c r="A17" s="4" t="inlineStr">
        <is>
          <t>Thời gian dự kiến</t>
        </is>
      </c>
      <c r="B17" s="5" t="inlineStr">
        <is>
          <t>Khoảng 1–1,5 phút mỗi câu, tổng khoảng 3–4 giờ cho 200 câu. Có thể chia nhiều buổi.</t>
        </is>
      </c>
    </row>
    <row r="18">
      <c r="A18" s="4" t="inlineStr">
        <is>
          <t>Nộp lại</t>
        </is>
      </c>
      <c r="B18" s="5" t="inlineStr">
        <is>
          <t>Điền họ tên và ngày ở trên, lưu file với tên giữ nguyên, gửi lại cho người phụ trách.</t>
        </is>
      </c>
    </row>
    <row r="20">
      <c r="A20" s="2" t="inlineStr">
        <is>
          <t>Ví dụ một dòng đã chấm</t>
        </is>
      </c>
    </row>
    <row r="21">
      <c r="A21" s="6" t="inlineStr">
        <is>
          <t>Câu gốc (EN)</t>
        </is>
      </c>
      <c r="B21" s="7" t="inlineStr">
        <is>
          <t>What is the average, minimum, and maximum age for all French singers?</t>
        </is>
      </c>
    </row>
    <row r="22">
      <c r="A22" s="6" t="inlineStr">
        <is>
          <t>Bản dịch (VI)</t>
        </is>
      </c>
      <c r="B22" s="7" t="inlineStr">
        <is>
          <t>Độ tuổi trung bình, nhỏ nhất và lớn nhất của các ca sĩ người Pháp là bao nhiêu?</t>
        </is>
      </c>
    </row>
    <row r="23">
      <c r="A23" s="6" t="inlineStr">
        <is>
          <t>Độ chính xác nghĩa</t>
        </is>
      </c>
      <c r="B23" s="7" t="n">
        <v>3</v>
      </c>
    </row>
    <row r="24">
      <c r="A24" s="6" t="inlineStr">
        <is>
          <t>Độ tự nhiên</t>
        </is>
      </c>
      <c r="B24" s="7" t="n">
        <v>3</v>
      </c>
    </row>
    <row r="25">
      <c r="A25" s="6" t="inlineStr">
        <is>
          <t>Lỗi ảnh hưởng SQL?</t>
        </is>
      </c>
      <c r="B25" s="7" t="inlineStr">
        <is>
          <t>Không</t>
        </is>
      </c>
    </row>
    <row r="26">
      <c r="A26" s="6" t="inlineStr">
        <is>
          <t>Loại lỗi</t>
        </is>
      </c>
      <c r="B26" s="7" t="inlineStr">
        <is>
          <t>Không có lỗi</t>
        </is>
      </c>
    </row>
    <row r="27">
      <c r="A27" s="6" t="inlineStr">
        <is>
          <t>Bản dịch đề xuất</t>
        </is>
      </c>
      <c r="B27" s="7" t="inlineStr">
        <is>
          <t>(để trống)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38" customWidth="1" min="1" max="1"/>
    <col width="14" customWidth="1" min="2" max="2"/>
    <col width="14" customWidth="1" min="3" max="3"/>
  </cols>
  <sheetData>
    <row r="1">
      <c r="A1" s="8" t="inlineStr">
        <is>
          <t>Tổng hợp (tự động tính, không cần sửa)</t>
        </is>
      </c>
    </row>
    <row r="2">
      <c r="B2" s="2" t="inlineStr">
        <is>
          <t>ViSpider</t>
        </is>
      </c>
      <c r="C2" s="2" t="inlineStr">
        <is>
          <t>ViBIRD</t>
        </is>
      </c>
    </row>
    <row r="3">
      <c r="A3" s="9" t="inlineStr">
        <is>
          <t>Số câu</t>
        </is>
      </c>
      <c r="B3" s="9">
        <f>COUNTA(ViSpider!B2:B101)</f>
        <v/>
      </c>
      <c r="C3" s="9">
        <f>COUNTA(ViBIRD!B2:B101)</f>
        <v/>
      </c>
    </row>
    <row r="4">
      <c r="A4" s="9" t="inlineStr">
        <is>
          <t>Số câu đã chấm độ chính xác</t>
        </is>
      </c>
      <c r="B4" s="9">
        <f>COUNTA(ViSpider!G2:G101)</f>
        <v/>
      </c>
      <c r="C4" s="9">
        <f>COUNTA(ViBIRD!J2:J101)</f>
        <v/>
      </c>
    </row>
    <row r="5">
      <c r="A5" s="9" t="inlineStr">
        <is>
          <t>Độ chính xác trung bình</t>
        </is>
      </c>
      <c r="B5" s="10">
        <f>IFERROR(SUMPRODUCT(--ViSpider!G2:G101)/B4,"")</f>
        <v/>
      </c>
      <c r="C5" s="10">
        <f>IFERROR(SUMPRODUCT(--ViBIRD!J2:J101)/C4,"")</f>
        <v/>
      </c>
    </row>
    <row r="6">
      <c r="A6" s="9" t="inlineStr">
        <is>
          <t>Độ tự nhiên trung bình</t>
        </is>
      </c>
      <c r="B6" s="10">
        <f>IFERROR(SUMPRODUCT(--ViSpider!H2:H101)/COUNTA(ViSpider!H2:H101),"")</f>
        <v/>
      </c>
      <c r="C6" s="10">
        <f>IFERROR(SUMPRODUCT(--ViBIRD!K2:K101)/COUNTA(ViBIRD!K2:K101),"")</f>
        <v/>
      </c>
    </row>
    <row r="7">
      <c r="A7" s="9" t="inlineStr">
        <is>
          <t>Tỉ lệ câu chấm độ chính xác = 1</t>
        </is>
      </c>
      <c r="B7" s="11">
        <f>IFERROR(COUNTIF(ViSpider!G2:G101,1)/B4,"")</f>
        <v/>
      </c>
      <c r="C7" s="11">
        <f>IFERROR(COUNTIF(ViBIRD!J2:J101,1)/C4,"")</f>
        <v/>
      </c>
    </row>
    <row r="8">
      <c r="A8" s="9" t="inlineStr">
        <is>
          <t>Tỉ lệ lỗi ảnh hưởng SQL</t>
        </is>
      </c>
      <c r="B8" s="11">
        <f>IFERROR(COUNTIF(ViSpider!I2:I101,"Có")/COUNTA(ViSpider!I2:I101),"")</f>
        <v/>
      </c>
      <c r="C8" s="11">
        <f>IFERROR(COUNTIF(ViBIRD!L2:L101,"Có")/COUNTA(ViBIRD!L2:L101),"")</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34" customWidth="1" min="1" max="1"/>
    <col width="34" customWidth="1" min="2" max="2"/>
    <col width="34" customWidth="1" min="3" max="3"/>
  </cols>
  <sheetData>
    <row r="1">
      <c r="A1" s="2" t="inlineStr">
        <is>
          <t>Điểm</t>
        </is>
      </c>
      <c r="B1" s="2" t="inlineStr">
        <is>
          <t>Có/Không</t>
        </is>
      </c>
      <c r="C1" s="2" t="inlineStr">
        <is>
          <t>Loại lỗi</t>
        </is>
      </c>
    </row>
    <row r="2">
      <c r="A2" s="9" t="n">
        <v>3</v>
      </c>
      <c r="B2" s="9" t="inlineStr">
        <is>
          <t>Có</t>
        </is>
      </c>
      <c r="C2" s="9" t="inlineStr">
        <is>
          <t>Không có lỗi</t>
        </is>
      </c>
    </row>
    <row r="3">
      <c r="A3" s="9" t="n">
        <v>2</v>
      </c>
      <c r="B3" s="9" t="inlineStr">
        <is>
          <t>Không</t>
        </is>
      </c>
      <c r="C3" s="9" t="inlineStr">
        <is>
          <t>Sai nghĩa</t>
        </is>
      </c>
    </row>
    <row r="4">
      <c r="A4" s="9" t="n">
        <v>1</v>
      </c>
      <c r="C4" s="9" t="inlineStr">
        <is>
          <t>Thiếu thông tin</t>
        </is>
      </c>
    </row>
    <row r="5">
      <c r="C5" s="9" t="inlineStr">
        <is>
          <t>Thêm thông tin</t>
        </is>
      </c>
    </row>
    <row r="6">
      <c r="C6" s="9" t="inlineStr">
        <is>
          <t>Sai/đổi giá trị hoặc tên riêng</t>
        </is>
      </c>
    </row>
    <row r="7">
      <c r="C7" s="9" t="inlineStr">
        <is>
          <t>Sai thuật ngữ</t>
        </is>
      </c>
    </row>
    <row r="8">
      <c r="C8" s="9" t="inlineStr">
        <is>
          <t>Câu không tự nhiên</t>
        </is>
      </c>
    </row>
    <row r="9">
      <c r="C9" s="9" t="inlineStr">
        <is>
          <t>Khác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18" customWidth="1" min="3" max="3"/>
    <col width="45" customWidth="1" min="4" max="4"/>
    <col width="45" customWidth="1" min="5" max="5"/>
    <col width="45" customWidth="1" min="6" max="6"/>
    <col width="14" customWidth="1" min="7" max="7"/>
    <col width="12" customWidth="1" min="8" max="8"/>
    <col width="12" customWidth="1" min="9" max="9"/>
    <col width="24" customWidth="1" min="10" max="10"/>
    <col width="40" customWidth="1" min="11" max="11"/>
    <col width="30" customWidth="1" min="12" max="12"/>
  </cols>
  <sheetData>
    <row r="1" ht="45" customHeight="1">
      <c r="A1" s="12" t="inlineStr">
        <is>
          <t>STT</t>
        </is>
      </c>
      <c r="B1" s="12" t="inlineStr">
        <is>
          <t>ID</t>
        </is>
      </c>
      <c r="C1" s="12" t="inlineStr">
        <is>
          <t>DB</t>
        </is>
      </c>
      <c r="D1" s="12" t="inlineStr">
        <is>
          <t>Câu gốc (EN)</t>
        </is>
      </c>
      <c r="E1" s="12" t="inlineStr">
        <is>
          <t>Bản dịch (VI)</t>
        </is>
      </c>
      <c r="F1" s="12" t="inlineStr">
        <is>
          <t>SQL tham chiếu</t>
        </is>
      </c>
      <c r="G1" s="13" t="inlineStr">
        <is>
          <t>Độ chính xác nghĩa (1–3)</t>
        </is>
      </c>
      <c r="H1" s="13" t="inlineStr">
        <is>
          <t>Độ tự nhiên (1–3)</t>
        </is>
      </c>
      <c r="I1" s="13" t="inlineStr">
        <is>
          <t>Lỗi ảnh hưởng SQL?</t>
        </is>
      </c>
      <c r="J1" s="13" t="inlineStr">
        <is>
          <t>Loại lỗi</t>
        </is>
      </c>
      <c r="K1" s="13" t="inlineStr">
        <is>
          <t>Bản dịch đề xuất</t>
        </is>
      </c>
      <c r="L1" s="13" t="inlineStr">
        <is>
          <t>Ghi chú</t>
        </is>
      </c>
    </row>
    <row r="2">
      <c r="A2" s="14" t="n">
        <v>1</v>
      </c>
      <c r="B2" s="14" t="inlineStr">
        <is>
          <t>spider-dev-00008</t>
        </is>
      </c>
      <c r="C2" s="14" t="inlineStr">
        <is>
          <t>concert_singer</t>
        </is>
      </c>
      <c r="D2" s="14" t="inlineStr">
        <is>
          <t>What are the names and release years for all the songs of the youngest singer?</t>
        </is>
      </c>
      <c r="E2" s="14" t="inlineStr">
        <is>
          <t>Tên và năm phát hành của tất cả các bài hát của nghệ sĩ trẻ tuổi nhất là gì?</t>
        </is>
      </c>
      <c r="F2" s="14" t="inlineStr">
        <is>
          <t>SELECT song_name ,  song_release_year FROM singer ORDER BY age LIMIT 1</t>
        </is>
      </c>
      <c r="G2" s="15" t="n"/>
      <c r="H2" s="15" t="n"/>
      <c r="I2" s="15" t="n"/>
      <c r="J2" s="15" t="n"/>
      <c r="K2" s="15" t="n"/>
      <c r="L2" s="15" t="n"/>
    </row>
    <row r="3">
      <c r="A3" s="14" t="n">
        <v>2</v>
      </c>
      <c r="B3" s="14" t="inlineStr">
        <is>
          <t>spider-dev-00011</t>
        </is>
      </c>
      <c r="C3" s="14" t="inlineStr">
        <is>
          <t>concert_singer</t>
        </is>
      </c>
      <c r="D3" s="14" t="inlineStr">
        <is>
          <t>Show all countries and the number of singers in each country.</t>
        </is>
      </c>
      <c r="E3" s="14" t="inlineStr">
        <is>
          <t>Hiển thị tất cả các quốc gia và số lượng ca sĩ ở mỗi quốc gia.</t>
        </is>
      </c>
      <c r="F3" s="14" t="inlineStr">
        <is>
          <t>SELECT country ,  count(*) FROM singer GROUP BY country</t>
        </is>
      </c>
      <c r="G3" s="15" t="n"/>
      <c r="H3" s="15" t="n"/>
      <c r="I3" s="15" t="n"/>
      <c r="J3" s="15" t="n"/>
      <c r="K3" s="15" t="n"/>
      <c r="L3" s="15" t="n"/>
    </row>
    <row r="4">
      <c r="A4" s="14" t="n">
        <v>3</v>
      </c>
      <c r="B4" s="14" t="inlineStr">
        <is>
          <t>spider-dev-00023</t>
        </is>
      </c>
      <c r="C4" s="14" t="inlineStr">
        <is>
          <t>concert_singer</t>
        </is>
      </c>
      <c r="D4" s="14" t="inlineStr">
        <is>
          <t>Show the stadium name and the number of concerts in each stadium.</t>
        </is>
      </c>
      <c r="E4" s="14" t="inlineStr">
        <is>
          <t>Hiển thị tên sân vận động và số lượng buổi concert tại mỗi sân vận động.</t>
        </is>
      </c>
      <c r="F4" s="14" t="inlineStr">
        <is>
          <t>SELECT T2.name ,  count(*) FROM concert AS T1 JOIN stadium AS T2 ON T1.stadium_id  =  T2.stadium_id GROUP BY T1.stadium_id</t>
        </is>
      </c>
      <c r="G4" s="15" t="n"/>
      <c r="H4" s="15" t="n"/>
      <c r="I4" s="15" t="n"/>
      <c r="J4" s="15" t="n"/>
      <c r="K4" s="15" t="n"/>
      <c r="L4" s="15" t="n"/>
    </row>
    <row r="5">
      <c r="A5" s="14" t="n">
        <v>4</v>
      </c>
      <c r="B5" s="14" t="inlineStr">
        <is>
          <t>spider-dev-00048</t>
        </is>
      </c>
      <c r="C5" s="14" t="inlineStr">
        <is>
          <t>pets_1</t>
        </is>
      </c>
      <c r="D5" s="14" t="inlineStr">
        <is>
          <t>Find the weight of the youngest dog.</t>
        </is>
      </c>
      <c r="E5" s="14" t="inlineStr">
        <is>
          <t>Tìm cân nặng của con chó nhỏ tuổi nhất.</t>
        </is>
      </c>
      <c r="F5" s="14" t="inlineStr">
        <is>
          <t>SELECT weight FROM pets ORDER BY pet_age LIMIT 1</t>
        </is>
      </c>
      <c r="G5" s="15" t="n"/>
      <c r="H5" s="15" t="n"/>
      <c r="I5" s="15" t="n"/>
      <c r="J5" s="15" t="n"/>
      <c r="K5" s="15" t="n"/>
      <c r="L5" s="15" t="n"/>
    </row>
    <row r="6">
      <c r="A6" s="14" t="n">
        <v>5</v>
      </c>
      <c r="B6" s="14" t="inlineStr">
        <is>
          <t>spider-dev-00058</t>
        </is>
      </c>
      <c r="C6" s="14" t="inlineStr">
        <is>
          <t>pets_1</t>
        </is>
      </c>
      <c r="D6" s="14" t="inlineStr">
        <is>
          <t>Find the first name of students who have cat or dog pet.</t>
        </is>
      </c>
      <c r="E6" s="14" t="inlineStr">
        <is>
          <t>Tìm tên (first name) của các sinh viên có thú cưng là mèo hoặc chó.</t>
        </is>
      </c>
      <c r="F6" s="14" t="inlineStr">
        <is>
          <t>SELECT DISTINCT T1.Fname FROM student AS T1 JOIN has_pet AS T2 ON T1.stuid  =  T2.stuid JOIN pets AS T3 ON T3.petid  =  T2.petid WHERE T3.pettype  =  'cat' OR T3.pettype  =  'dog'</t>
        </is>
      </c>
      <c r="G6" s="15" t="n"/>
      <c r="H6" s="15" t="n"/>
      <c r="I6" s="15" t="n"/>
      <c r="J6" s="15" t="n"/>
      <c r="K6" s="15" t="n"/>
      <c r="L6" s="15" t="n"/>
    </row>
    <row r="7">
      <c r="A7" s="14" t="n">
        <v>6</v>
      </c>
      <c r="B7" s="14" t="inlineStr">
        <is>
          <t>spider-dev-00090</t>
        </is>
      </c>
      <c r="C7" s="14" t="inlineStr">
        <is>
          <t>car_1</t>
        </is>
      </c>
      <c r="D7" s="14" t="inlineStr">
        <is>
          <t>How many countries does each continent have? List the continent id, continent name and the number of countries.</t>
        </is>
      </c>
      <c r="E7" s="14" t="inlineStr">
        <is>
          <t>Mỗi lục địa có bao nhiêu quốc gia? Hãy liệt kê mã lục địa, tên lục địa và số lượng quốc gia.</t>
        </is>
      </c>
      <c r="F7" s="14" t="inlineStr">
        <is>
          <t>SELECT T1.ContId ,  T1.Continent ,  count(*) FROM CONTINENTS AS T1 JOIN COUNTRIES AS T2 ON T1.ContId  =  T2.Continent GROUP BY T1.ContId;</t>
        </is>
      </c>
      <c r="G7" s="15" t="n"/>
      <c r="H7" s="15" t="n"/>
      <c r="I7" s="15" t="n"/>
      <c r="J7" s="15" t="n"/>
      <c r="K7" s="15" t="n"/>
      <c r="L7" s="15" t="n"/>
    </row>
    <row r="8">
      <c r="A8" s="14" t="n">
        <v>7</v>
      </c>
      <c r="B8" s="14" t="inlineStr">
        <is>
          <t>spider-dev-00107</t>
        </is>
      </c>
      <c r="C8" s="14" t="inlineStr">
        <is>
          <t>car_1</t>
        </is>
      </c>
      <c r="D8" s="14" t="inlineStr">
        <is>
          <t>What is the name of each continent and how many car makers are there in each one?</t>
        </is>
      </c>
      <c r="E8" s="14" t="inlineStr">
        <is>
          <t>Tên của mỗi châu lục là gì và có bao nhiêu nhà sản xuất ô tô ở mỗi châu lục?</t>
        </is>
      </c>
      <c r="F8" s="14" t="inlineStr">
        <is>
          <t>SELECT T1.Continent ,  count(*) FROM CONTINENTS AS T1 JOIN COUNTRIES AS T2 ON T1.ContId  =  T2.continent JOIN car_makers AS T3 ON T2.CountryId  =  T3.Country GROUP BY T1.Continent;</t>
        </is>
      </c>
      <c r="G8" s="15" t="n"/>
      <c r="H8" s="15" t="n"/>
      <c r="I8" s="15" t="n"/>
      <c r="J8" s="15" t="n"/>
      <c r="K8" s="15" t="n"/>
      <c r="L8" s="15" t="n"/>
    </row>
    <row r="9">
      <c r="A9" s="14" t="n">
        <v>8</v>
      </c>
      <c r="B9" s="14" t="inlineStr">
        <is>
          <t>spider-dev-00110</t>
        </is>
      </c>
      <c r="C9" s="14" t="inlineStr">
        <is>
          <t>car_1</t>
        </is>
      </c>
      <c r="D9" s="14" t="inlineStr">
        <is>
          <t>How many car models are produced by each maker ? Only list the count and the maker full name .</t>
        </is>
      </c>
      <c r="E9" s="14" t="inlineStr">
        <is>
          <t>Có bao nhiêu mẫu xe được sản xuất bởi mỗi nhà sản xuất? Chỉ liệt kê số lượng và tên đầy đủ của nhà sản xuất.</t>
        </is>
      </c>
      <c r="F9" s="14" t="inlineStr">
        <is>
          <t>select count(*) ,  t2.fullname from model_list as t1 join car_makers as t2 on t1.maker  =  t2.id group by t2.id;</t>
        </is>
      </c>
      <c r="G9" s="15" t="n"/>
      <c r="H9" s="15" t="n"/>
      <c r="I9" s="15" t="n"/>
      <c r="J9" s="15" t="n"/>
      <c r="K9" s="15" t="n"/>
      <c r="L9" s="15" t="n"/>
    </row>
    <row r="10">
      <c r="A10" s="14" t="n">
        <v>9</v>
      </c>
      <c r="B10" s="14" t="inlineStr">
        <is>
          <t>spider-dev-00117</t>
        </is>
      </c>
      <c r="C10" s="14" t="inlineStr">
        <is>
          <t>car_1</t>
        </is>
      </c>
      <c r="D10" s="14" t="inlineStr">
        <is>
          <t>What is the count of the car models produced in the United States?</t>
        </is>
      </c>
      <c r="E10" s="14" t="inlineStr">
        <is>
          <t>Số lượng các mẫu xe được sản xuất ở Hoa Kỳ là bao nhiêu?</t>
        </is>
      </c>
      <c r="F10" s="14" t="inlineStr">
        <is>
          <t>SELECT count(*) FROM MODEL_LIST AS T1 JOIN CAR_MAKERS AS T2 ON T1.Maker  =  T2.Id JOIN COUNTRIES AS T3 ON T2.Country  =  T3.CountryId WHERE T3.CountryName  =  'usa';</t>
        </is>
      </c>
      <c r="G10" s="15" t="n"/>
      <c r="H10" s="15" t="n"/>
      <c r="I10" s="15" t="n"/>
      <c r="J10" s="15" t="n"/>
      <c r="K10" s="15" t="n"/>
      <c r="L10" s="15" t="n"/>
    </row>
    <row r="11">
      <c r="A11" s="14" t="n">
        <v>10</v>
      </c>
      <c r="B11" s="14" t="inlineStr">
        <is>
          <t>spider-dev-00146</t>
        </is>
      </c>
      <c r="C11" s="14" t="inlineStr">
        <is>
          <t>car_1</t>
        </is>
      </c>
      <c r="D11" s="14" t="inlineStr">
        <is>
          <t>how many cars were produced in 1980?</t>
        </is>
      </c>
      <c r="E11" s="14" t="inlineStr">
        <is>
          <t>Có bao nhiêu xe được sản xuất vào năm 1980?</t>
        </is>
      </c>
      <c r="F11" s="14" t="inlineStr">
        <is>
          <t>SELECT count(*) FROM CARS_DATA WHERE YEAR  =  1980;</t>
        </is>
      </c>
      <c r="G11" s="15" t="n"/>
      <c r="H11" s="15" t="n"/>
      <c r="I11" s="15" t="n"/>
      <c r="J11" s="15" t="n"/>
      <c r="K11" s="15" t="n"/>
      <c r="L11" s="15" t="n"/>
    </row>
    <row r="12">
      <c r="A12" s="14" t="n">
        <v>11</v>
      </c>
      <c r="B12" s="14" t="inlineStr">
        <is>
          <t>spider-dev-00153</t>
        </is>
      </c>
      <c r="C12" s="14" t="inlineStr">
        <is>
          <t>car_1</t>
        </is>
      </c>
      <c r="D12" s="14" t="inlineStr">
        <is>
          <t>What are the different models created by either the car maker General Motors or weighed more than 3500?</t>
        </is>
      </c>
      <c r="E12" s="14" t="inlineStr">
        <is>
          <t>Các mẫu xe khác nhau được tạo ra bởi nhà sản xuất xe General Motors hoặc có trọng lượng lớn hơn 3500?</t>
        </is>
      </c>
      <c r="F12" s="14" t="inlineStr">
        <is>
          <t>SELECT DISTINCT T2.Model FROM CAR_NAMES AS T1 JOIN MODEL_LIST AS T2 ON T1.Model  =  T2.Model JOIN CAR_MAKERS AS T3 ON T2.Maker  =  T3.Id JOIN CARS_DATA AS T4 ON T1.MakeId  =  T4.Id WHERE T3.FullName  =  'General Motors' OR T4.weight  &gt;  3500;</t>
        </is>
      </c>
      <c r="G12" s="15" t="n"/>
      <c r="H12" s="15" t="n"/>
      <c r="I12" s="15" t="n"/>
      <c r="J12" s="15" t="n"/>
      <c r="K12" s="15" t="n"/>
      <c r="L12" s="15" t="n"/>
    </row>
    <row r="13">
      <c r="A13" s="14" t="n">
        <v>12</v>
      </c>
      <c r="B13" s="14" t="inlineStr">
        <is>
          <t>spider-dev-00163</t>
        </is>
      </c>
      <c r="C13" s="14" t="inlineStr">
        <is>
          <t>car_1</t>
        </is>
      </c>
      <c r="D13" s="14" t="inlineStr">
        <is>
          <t>What is the number of countries with more than 2 car makers ?</t>
        </is>
      </c>
      <c r="E13" s="14" t="inlineStr">
        <is>
          <t>Có bao nhiêu quốc gia có hơn 2 nhà sản xuất ô tô?</t>
        </is>
      </c>
      <c r="F13" s="14" t="inlineStr">
        <is>
          <t>select count(*) from countries as t1 join car_makers as t2 on t1.countryid  =  t2.country group by t1.countryid having count(*)  &gt;  2</t>
        </is>
      </c>
      <c r="G13" s="15" t="n"/>
      <c r="H13" s="15" t="n"/>
      <c r="I13" s="15" t="n"/>
      <c r="J13" s="15" t="n"/>
      <c r="K13" s="15" t="n"/>
      <c r="L13" s="15" t="n"/>
    </row>
    <row r="14">
      <c r="A14" s="14" t="n">
        <v>13</v>
      </c>
      <c r="B14" s="14" t="inlineStr">
        <is>
          <t>spider-dev-00170</t>
        </is>
      </c>
      <c r="C14" s="14" t="inlineStr">
        <is>
          <t>car_1</t>
        </is>
      </c>
      <c r="D14" s="14" t="inlineStr">
        <is>
          <t>What is the maximum miles per gallon of the car with 8 cylinders or produced before 1980 ?</t>
        </is>
      </c>
      <c r="E14" s="14" t="inlineStr">
        <is>
          <t>Giá trị tối đa của mpg của chiếc xe có 8 cylinders hoặc được sản xuất trước năm 1980 là bao nhiêu?</t>
        </is>
      </c>
      <c r="F14" s="14" t="inlineStr">
        <is>
          <t>select max(mpg) from cars_data where cylinders  =  8 or year  &lt;  1980</t>
        </is>
      </c>
      <c r="G14" s="15" t="n"/>
      <c r="H14" s="15" t="n"/>
      <c r="I14" s="15" t="n"/>
      <c r="J14" s="15" t="n"/>
      <c r="K14" s="15" t="n"/>
      <c r="L14" s="15" t="n"/>
    </row>
    <row r="15">
      <c r="A15" s="14" t="n">
        <v>14</v>
      </c>
      <c r="B15" s="14" t="inlineStr">
        <is>
          <t>spider-dev-00183</t>
        </is>
      </c>
      <c r="C15" s="14" t="inlineStr">
        <is>
          <t>flight_2</t>
        </is>
      </c>
      <c r="D15" s="14" t="inlineStr">
        <is>
          <t>Which abbreviation corresponds to Jetblue Airways?</t>
        </is>
      </c>
      <c r="E15" s="14" t="inlineStr">
        <is>
          <t>Biên mã nào tương ứng với JetBlue Airways?</t>
        </is>
      </c>
      <c r="F15" s="14" t="inlineStr">
        <is>
          <t>SELECT Abbreviation FROM AIRLINES WHERE Airline  =  "JetBlue Airways"</t>
        </is>
      </c>
      <c r="G15" s="15" t="n"/>
      <c r="H15" s="15" t="n"/>
      <c r="I15" s="15" t="n"/>
      <c r="J15" s="15" t="n"/>
      <c r="K15" s="15" t="n"/>
      <c r="L15" s="15" t="n"/>
    </row>
    <row r="16">
      <c r="A16" s="14" t="n">
        <v>15</v>
      </c>
      <c r="B16" s="14" t="inlineStr">
        <is>
          <t>spider-dev-00185</t>
        </is>
      </c>
      <c r="C16" s="14" t="inlineStr">
        <is>
          <t>flight_2</t>
        </is>
      </c>
      <c r="D16" s="14" t="inlineStr">
        <is>
          <t>What are the airline names and abbreviations for airlines in the USA?</t>
        </is>
      </c>
      <c r="E16" s="14" t="inlineStr">
        <is>
          <t>Tên các hãng hàng không ở Hoa Kỳ và viết tắt của chúng là gì?</t>
        </is>
      </c>
      <c r="F16" s="14" t="inlineStr">
        <is>
          <t>SELECT Airline ,  Abbreviation FROM AIRLINES WHERE Country  =  "USA"</t>
        </is>
      </c>
      <c r="G16" s="15" t="n"/>
      <c r="H16" s="15" t="n"/>
      <c r="I16" s="15" t="n"/>
      <c r="J16" s="15" t="n"/>
      <c r="K16" s="15" t="n"/>
      <c r="L16" s="15" t="n"/>
    </row>
    <row r="17">
      <c r="A17" s="14" t="n">
        <v>16</v>
      </c>
      <c r="B17" s="14" t="inlineStr">
        <is>
          <t>spider-dev-00194</t>
        </is>
      </c>
      <c r="C17" s="14" t="inlineStr">
        <is>
          <t>flight_2</t>
        </is>
      </c>
      <c r="D17" s="14" t="inlineStr">
        <is>
          <t>Which airline has abbreviation 'UAL'?</t>
        </is>
      </c>
      <c r="E17" s="14" t="inlineStr">
        <is>
          <t>Hãng hàng không nào có viết tắt là 'UAL'?</t>
        </is>
      </c>
      <c r="F17" s="14" t="inlineStr">
        <is>
          <t>SELECT Airline FROM AIRLINES WHERE Abbreviation  =  "UAL"</t>
        </is>
      </c>
      <c r="G17" s="15" t="n"/>
      <c r="H17" s="15" t="n"/>
      <c r="I17" s="15" t="n"/>
      <c r="J17" s="15" t="n"/>
      <c r="K17" s="15" t="n"/>
      <c r="L17" s="15" t="n"/>
    </row>
    <row r="18">
      <c r="A18" s="14" t="n">
        <v>17</v>
      </c>
      <c r="B18" s="14" t="inlineStr">
        <is>
          <t>spider-dev-00212</t>
        </is>
      </c>
      <c r="C18" s="14" t="inlineStr">
        <is>
          <t>flight_2</t>
        </is>
      </c>
      <c r="D18" s="14" t="inlineStr">
        <is>
          <t>How many flights depart from City 'Aberdeen' and have destination City 'Ashley'?</t>
        </is>
      </c>
      <c r="E18" s="14" t="inlineStr">
        <is>
          <t>Có bao nhiêu chuyến bay khởi hành từ thành phố 'Aberdeen' và có điểm đến ở thành phố 'Ashley'?</t>
        </is>
      </c>
      <c r="F18" s="14" t="inlineStr">
        <is>
          <t>SELECT count(*) FROM FLIGHTS AS T1 JOIN AIRPORTS AS T2 ON T1.DestAirport  =  T2.AirportCode JOIN AIRPORTS AS T3 ON T1.SourceAirport  =  T3.AirportCode WHERE T2.City  =  "Ashley" AND T3.City  =  "Aberdeen"</t>
        </is>
      </c>
      <c r="G18" s="15" t="n"/>
      <c r="H18" s="15" t="n"/>
      <c r="I18" s="15" t="n"/>
      <c r="J18" s="15" t="n"/>
      <c r="K18" s="15" t="n"/>
      <c r="L18" s="15" t="n"/>
    </row>
    <row r="19">
      <c r="A19" s="14" t="n">
        <v>18</v>
      </c>
      <c r="B19" s="14" t="inlineStr">
        <is>
          <t>spider-dev-00243</t>
        </is>
      </c>
      <c r="C19" s="14" t="inlineStr">
        <is>
          <t>flight_2</t>
        </is>
      </c>
      <c r="D19" s="14" t="inlineStr">
        <is>
          <t>Which airlines have at least 10 flights?</t>
        </is>
      </c>
      <c r="E19" s="14" t="inlineStr">
        <is>
          <t>Những hãng hàng không nào có ít nhất 10 chuyến bay?</t>
        </is>
      </c>
      <c r="F19" s="14" t="inlineStr">
        <is>
          <t>SELECT T1.Airline FROM AIRLINES AS T1 JOIN FLIGHTS AS T2 ON T1.uid  =  T2.Airline GROUP BY T1.Airline HAVING count(*)  &gt;  10</t>
        </is>
      </c>
      <c r="G19" s="15" t="n"/>
      <c r="H19" s="15" t="n"/>
      <c r="I19" s="15" t="n"/>
      <c r="J19" s="15" t="n"/>
      <c r="K19" s="15" t="n"/>
      <c r="L19" s="15" t="n"/>
    </row>
    <row r="20">
      <c r="A20" s="14" t="n">
        <v>19</v>
      </c>
      <c r="B20" s="14" t="inlineStr">
        <is>
          <t>spider-dev-00251</t>
        </is>
      </c>
      <c r="C20" s="14" t="inlineStr">
        <is>
          <t>flight_2</t>
        </is>
      </c>
      <c r="D20" s="14" t="inlineStr">
        <is>
          <t>Give the flight numbers of flights landing at APG.</t>
        </is>
      </c>
      <c r="E20" s="14" t="inlineStr">
        <is>
          <t>Hãy cho biết các số hiệu chuyến bay hạ cánh tại APG.</t>
        </is>
      </c>
      <c r="F20" s="14" t="inlineStr">
        <is>
          <t>SELECT FlightNo FROM FLIGHTS WHERE DestAirport  =  "APG"</t>
        </is>
      </c>
      <c r="G20" s="15" t="n"/>
      <c r="H20" s="15" t="n"/>
      <c r="I20" s="15" t="n"/>
      <c r="J20" s="15" t="n"/>
      <c r="K20" s="15" t="n"/>
      <c r="L20" s="15" t="n"/>
    </row>
    <row r="21">
      <c r="A21" s="14" t="n">
        <v>20</v>
      </c>
      <c r="B21" s="14" t="inlineStr">
        <is>
          <t>spider-dev-00274</t>
        </is>
      </c>
      <c r="C21" s="14" t="inlineStr">
        <is>
          <t>employee_hire_evaluation</t>
        </is>
      </c>
      <c r="D21" s="14" t="inlineStr">
        <is>
          <t>Return the name, location and district of all shops in descending order of number of products.</t>
        </is>
      </c>
      <c r="E21" s="14" t="inlineStr">
        <is>
          <t>Trả về tên, địa điểm và quận của tất cả các shop, sắp xếp theo số lượng sản phẩm giảm dần.</t>
        </is>
      </c>
      <c r="F21" s="14" t="inlineStr">
        <is>
          <t>SELECT name ,  LOCATION ,  district FROM shop ORDER BY number_products DESC</t>
        </is>
      </c>
      <c r="G21" s="15" t="n"/>
      <c r="H21" s="15" t="n"/>
      <c r="I21" s="15" t="n"/>
      <c r="J21" s="15" t="n"/>
      <c r="K21" s="15" t="n"/>
      <c r="L21" s="15" t="n"/>
    </row>
    <row r="22">
      <c r="A22" s="14" t="n">
        <v>21</v>
      </c>
      <c r="B22" s="14" t="inlineStr">
        <is>
          <t>spider-dev-00279</t>
        </is>
      </c>
      <c r="C22" s="14" t="inlineStr">
        <is>
          <t>employee_hire_evaluation</t>
        </is>
      </c>
      <c r="D22" s="14" t="inlineStr">
        <is>
          <t>Which employee received the most awards in evaluations? Give me the employee name.</t>
        </is>
      </c>
      <c r="E22" s="14" t="inlineStr">
        <is>
          <t>Nhân viên nào nhận được nhiều giải thưởng nhất trong các lượt đánh giá? Hãy cho tôi biết tên nhân viên.</t>
        </is>
      </c>
      <c r="F22" s="14" t="inlineStr">
        <is>
          <t>SELECT t1.name FROM employee AS t1 JOIN evaluation AS t2 ON t1.Employee_ID  =  t2.Employee_ID GROUP BY t2.Employee_ID ORDER BY count(*) DESC LIMIT 1</t>
        </is>
      </c>
      <c r="G22" s="15" t="n"/>
      <c r="H22" s="15" t="n"/>
      <c r="I22" s="15" t="n"/>
      <c r="J22" s="15" t="n"/>
      <c r="K22" s="15" t="n"/>
      <c r="L22" s="15" t="n"/>
    </row>
    <row r="23">
      <c r="A23" s="14" t="n">
        <v>22</v>
      </c>
      <c r="B23" s="14" t="inlineStr">
        <is>
          <t>spider-dev-00319</t>
        </is>
      </c>
      <c r="C23" s="14" t="inlineStr">
        <is>
          <t>cre_Doc_Template_Mgt</t>
        </is>
      </c>
      <c r="D23" s="14" t="inlineStr">
        <is>
          <t>Count the number of templates.</t>
        </is>
      </c>
      <c r="E23" s="14" t="inlineStr">
        <is>
          <t>Đếm số lượng các template.</t>
        </is>
      </c>
      <c r="F23" s="14" t="inlineStr">
        <is>
          <t>SELECT count(*) FROM Templates</t>
        </is>
      </c>
      <c r="G23" s="15" t="n"/>
      <c r="H23" s="15" t="n"/>
      <c r="I23" s="15" t="n"/>
      <c r="J23" s="15" t="n"/>
      <c r="K23" s="15" t="n"/>
      <c r="L23" s="15" t="n"/>
    </row>
    <row r="24">
      <c r="A24" s="14" t="n">
        <v>23</v>
      </c>
      <c r="B24" s="14" t="inlineStr">
        <is>
          <t>spider-dev-00332</t>
        </is>
      </c>
      <c r="C24" s="14" t="inlineStr">
        <is>
          <t>cre_Doc_Template_Mgt</t>
        </is>
      </c>
      <c r="D24" s="14" t="inlineStr">
        <is>
          <t>Which template type code has most number of templates?</t>
        </is>
      </c>
      <c r="E24" s="14" t="inlineStr">
        <is>
          <t>Mã loại mẫu nào có số lượng mẫu nhiều nhất?</t>
        </is>
      </c>
      <c r="F24" s="14" t="inlineStr">
        <is>
          <t>SELECT template_type_code FROM Templates GROUP BY template_type_code ORDER BY count(*) DESC LIMIT 1</t>
        </is>
      </c>
      <c r="G24" s="15" t="n"/>
      <c r="H24" s="15" t="n"/>
      <c r="I24" s="15" t="n"/>
      <c r="J24" s="15" t="n"/>
      <c r="K24" s="15" t="n"/>
      <c r="L24" s="15" t="n"/>
    </row>
    <row r="25">
      <c r="A25" s="14" t="n">
        <v>24</v>
      </c>
      <c r="B25" s="14" t="inlineStr">
        <is>
          <t>spider-dev-00337</t>
        </is>
      </c>
      <c r="C25" s="14" t="inlineStr">
        <is>
          <t>cre_Doc_Template_Mgt</t>
        </is>
      </c>
      <c r="D25" s="14" t="inlineStr">
        <is>
          <t>Return the lowest version number, along with its corresponding template type code.</t>
        </is>
      </c>
      <c r="E25" s="14" t="inlineStr">
        <is>
          <t>Trả về số phiên bản thấp nhất, cùng với mã loại mẫu tương ứng.</t>
        </is>
      </c>
      <c r="F25" s="14" t="inlineStr">
        <is>
          <t>SELECT min(Version_Number) ,  template_type_code FROM Templates</t>
        </is>
      </c>
      <c r="G25" s="15" t="n"/>
      <c r="H25" s="15" t="n"/>
      <c r="I25" s="15" t="n"/>
      <c r="J25" s="15" t="n"/>
      <c r="K25" s="15" t="n"/>
      <c r="L25" s="15" t="n"/>
    </row>
    <row r="26">
      <c r="A26" s="14" t="n">
        <v>25</v>
      </c>
      <c r="B26" s="14" t="inlineStr">
        <is>
          <t>spider-dev-00371</t>
        </is>
      </c>
      <c r="C26" s="14" t="inlineStr">
        <is>
          <t>cre_Doc_Template_Mgt</t>
        </is>
      </c>
      <c r="D26" s="14" t="inlineStr">
        <is>
          <t>What are the ids and names of each document, as well as the number of paragraphs in each?</t>
        </is>
      </c>
      <c r="E26" s="14" t="inlineStr">
        <is>
          <t>Các id và tên của từng document, cùng với số lượng paragraph trong mỗi document là gì?</t>
        </is>
      </c>
      <c r="F26" s="14" t="inlineStr">
        <is>
          <t>SELECT T1.document_id ,  T2.document_name ,  count(*) FROM Paragraphs AS T1 JOIN Documents AS T2 ON T1.document_id  =  T2.document_id GROUP BY T1.document_id</t>
        </is>
      </c>
      <c r="G26" s="15" t="n"/>
      <c r="H26" s="15" t="n"/>
      <c r="I26" s="15" t="n"/>
      <c r="J26" s="15" t="n"/>
      <c r="K26" s="15" t="n"/>
      <c r="L26" s="15" t="n"/>
    </row>
    <row r="27">
      <c r="A27" s="14" t="n">
        <v>26</v>
      </c>
      <c r="B27" s="14" t="inlineStr">
        <is>
          <t>spider-dev-00396</t>
        </is>
      </c>
      <c r="C27" s="14" t="inlineStr">
        <is>
          <t>course_teach</t>
        </is>
      </c>
      <c r="D27" s="14" t="inlineStr">
        <is>
          <t>List the most common hometown of teachers.</t>
        </is>
      </c>
      <c r="E27" s="14" t="inlineStr">
        <is>
          <t>Liệt kê quê hương phổ biến nhất của các giáo viên.</t>
        </is>
      </c>
      <c r="F27" s="14" t="inlineStr">
        <is>
          <t>SELECT Hometown FROM teacher GROUP BY Hometown ORDER BY COUNT(*) DESC LIMIT 1</t>
        </is>
      </c>
      <c r="G27" s="15" t="n"/>
      <c r="H27" s="15" t="n"/>
      <c r="I27" s="15" t="n"/>
      <c r="J27" s="15" t="n"/>
      <c r="K27" s="15" t="n"/>
      <c r="L27" s="15" t="n"/>
    </row>
    <row r="28">
      <c r="A28" s="14" t="n">
        <v>27</v>
      </c>
      <c r="B28" s="14" t="inlineStr">
        <is>
          <t>spider-dev-00403</t>
        </is>
      </c>
      <c r="C28" s="14" t="inlineStr">
        <is>
          <t>course_teach</t>
        </is>
      </c>
      <c r="D28" s="14" t="inlineStr">
        <is>
          <t>What are the names of the teachers and the courses they teach in ascending alphabetical order by the name of the teacher?</t>
        </is>
      </c>
      <c r="E28" s="14" t="inlineStr">
        <is>
          <t>Tên của các giáo viên và các khóa học mà họ giảng dạy, sắp xếp theo thứ tự bảng chữ cái tăng dần dựa trên tên của giáo viên.</t>
        </is>
      </c>
      <c r="F28" s="14" t="inlineStr">
        <is>
          <t>SELECT T3.Name ,  T2.Course FROM course_arrange AS T1 JOIN course AS T2 ON T1.Course_ID  =  T2.Course_ID JOIN teacher AS T3 ON T1.Teacher_ID  =  T3.Teacher_ID ORDER BY T3.Name</t>
        </is>
      </c>
      <c r="G28" s="15" t="n"/>
      <c r="H28" s="15" t="n"/>
      <c r="I28" s="15" t="n"/>
      <c r="J28" s="15" t="n"/>
      <c r="K28" s="15" t="n"/>
      <c r="L28" s="15" t="n"/>
    </row>
    <row r="29">
      <c r="A29" s="14" t="n">
        <v>28</v>
      </c>
      <c r="B29" s="14" t="inlineStr">
        <is>
          <t>spider-dev-00442</t>
        </is>
      </c>
      <c r="C29" s="14" t="inlineStr">
        <is>
          <t>wta_1</t>
        </is>
      </c>
      <c r="D29" s="14" t="inlineStr">
        <is>
          <t>find the number of distinct country codes of all players.</t>
        </is>
      </c>
      <c r="E29" s="14" t="inlineStr">
        <is>
          <t>Tìm số lượng các mã quốc gia khác nhau của tất cả các cầu thủ.</t>
        </is>
      </c>
      <c r="F29" s="14" t="inlineStr">
        <is>
          <t>SELECT count(DISTINCT country_code) FROM players</t>
        </is>
      </c>
      <c r="G29" s="15" t="n"/>
      <c r="H29" s="15" t="n"/>
      <c r="I29" s="15" t="n"/>
      <c r="J29" s="15" t="n"/>
      <c r="K29" s="15" t="n"/>
      <c r="L29" s="15" t="n"/>
    </row>
    <row r="30">
      <c r="A30" s="14" t="n">
        <v>29</v>
      </c>
      <c r="B30" s="14" t="inlineStr">
        <is>
          <t>spider-dev-00452</t>
        </is>
      </c>
      <c r="C30" s="14" t="inlineStr">
        <is>
          <t>wta_1</t>
        </is>
      </c>
      <c r="D30" s="14" t="inlineStr">
        <is>
          <t>What are the country code and first name of the players who won in both tourney WTA Championships and Australian Open?</t>
        </is>
      </c>
      <c r="E30" s="14" t="inlineStr">
        <is>
          <t>Mã quốc gia và tên đầu tiên của các cầu thủ đã giành chiến thắng ở cả tourney WTA Championships và Australian Open là gì?</t>
        </is>
      </c>
      <c r="F30" s="14" t="inlineStr">
        <is>
          <t>SELECT T1.country_code ,  T1.first_name FROM players AS T1 JOIN matches AS T2 ON T1.player_id  =  T2.winner_id WHERE T2.tourney_name  =  'WTA Championships' INTERSECT SELECT T1.country_code ,  T1.first_name FROM players AS T1 JOIN matches AS T2 ON T1.player_id  =  T2.winner_id WHERE T2.tourney_name  =  'Australian Open'</t>
        </is>
      </c>
      <c r="G30" s="15" t="n"/>
      <c r="H30" s="15" t="n"/>
      <c r="I30" s="15" t="n"/>
      <c r="J30" s="15" t="n"/>
      <c r="K30" s="15" t="n"/>
      <c r="L30" s="15" t="n"/>
    </row>
    <row r="31">
      <c r="A31" s="14" t="n">
        <v>30</v>
      </c>
      <c r="B31" s="14" t="inlineStr">
        <is>
          <t>spider-dev-00457</t>
        </is>
      </c>
      <c r="C31" s="14" t="inlineStr">
        <is>
          <t>wta_1</t>
        </is>
      </c>
      <c r="D31" s="14" t="inlineStr">
        <is>
          <t>What are the full names of all players, sorted by birth date?</t>
        </is>
      </c>
      <c r="E31" s="14" t="inlineStr">
        <is>
          <t>Tên đầy đủ của tất cả các cầu thủ, được sắp xếp theo ngày sinh?</t>
        </is>
      </c>
      <c r="F31" s="14" t="inlineStr">
        <is>
          <t>SELECT first_name ,  last_name FROM players ORDER BY birth_date</t>
        </is>
      </c>
      <c r="G31" s="15" t="n"/>
      <c r="H31" s="15" t="n"/>
      <c r="I31" s="15" t="n"/>
      <c r="J31" s="15" t="n"/>
      <c r="K31" s="15" t="n"/>
      <c r="L31" s="15" t="n"/>
    </row>
    <row r="32">
      <c r="A32" s="14" t="n">
        <v>31</v>
      </c>
      <c r="B32" s="14" t="inlineStr">
        <is>
          <t>spider-dev-00461</t>
        </is>
      </c>
      <c r="C32" s="14" t="inlineStr">
        <is>
          <t>wta_1</t>
        </is>
      </c>
      <c r="D32" s="14" t="inlineStr">
        <is>
          <t>What is the first name and country code of the player with the most tours?</t>
        </is>
      </c>
      <c r="E32" s="14" t="inlineStr">
        <is>
          <t>Tên và mã quốc gia của người chơi có số lần tham dự (tours) nhiều nhất là gì?</t>
        </is>
      </c>
      <c r="F32" s="14" t="inlineStr">
        <is>
          <t>SELECT T1.country_code ,  T1.first_name FROM players AS T1 JOIN rankings AS T2 ON T1.player_id  =  T2.player_id ORDER BY T2.tours DESC LIMIT 1</t>
        </is>
      </c>
      <c r="G32" s="15" t="n"/>
      <c r="H32" s="15" t="n"/>
      <c r="I32" s="15" t="n"/>
      <c r="J32" s="15" t="n"/>
      <c r="K32" s="15" t="n"/>
      <c r="L32" s="15" t="n"/>
    </row>
    <row r="33">
      <c r="A33" s="14" t="n">
        <v>32</v>
      </c>
      <c r="B33" s="14" t="inlineStr">
        <is>
          <t>spider-dev-00465</t>
        </is>
      </c>
      <c r="C33" s="14" t="inlineStr">
        <is>
          <t>wta_1</t>
        </is>
      </c>
      <c r="D33" s="14" t="inlineStr">
        <is>
          <t>What is the name of the winner who has won the most matches, and how many rank points does this player have?</t>
        </is>
      </c>
      <c r="E33" s="14" t="inlineStr">
        <is>
          <t>Tên của người chiến thắng đã giành được nhiều trận đấu nhất là gì, và người chơi này có bao nhiêu điểm xếp hạng?</t>
        </is>
      </c>
      <c r="F33" s="14" t="inlineStr">
        <is>
          <t>SELECT winner_name ,  winner_rank_points FROM matches GROUP BY winner_name ORDER BY count(*) DESC LIMIT 1</t>
        </is>
      </c>
      <c r="G33" s="15" t="n"/>
      <c r="H33" s="15" t="n"/>
      <c r="I33" s="15" t="n"/>
      <c r="J33" s="15" t="n"/>
      <c r="K33" s="15" t="n"/>
      <c r="L33" s="15" t="n"/>
    </row>
    <row r="34">
      <c r="A34" s="14" t="n">
        <v>33</v>
      </c>
      <c r="B34" s="14" t="inlineStr">
        <is>
          <t>spider-dev-00471</t>
        </is>
      </c>
      <c r="C34" s="14" t="inlineStr">
        <is>
          <t>wta_1</t>
        </is>
      </c>
      <c r="D34" s="14" t="inlineStr">
        <is>
          <t>What are the first names of all players, and their average rankings?</t>
        </is>
      </c>
      <c r="E34" s="14" t="inlineStr">
        <is>
          <t>Các tên đầu tiên của tất cả các cầu thủ và xếp hạng trung bình của họ là gì?</t>
        </is>
      </c>
      <c r="F34" s="14" t="inlineStr">
        <is>
          <t>SELECT avg(ranking) ,  T1.first_name FROM players AS T1 JOIN rankings AS T2 ON T1.player_id  =  T2.player_id GROUP BY T1.first_name</t>
        </is>
      </c>
      <c r="G34" s="15" t="n"/>
      <c r="H34" s="15" t="n"/>
      <c r="I34" s="15" t="n"/>
      <c r="J34" s="15" t="n"/>
      <c r="K34" s="15" t="n"/>
      <c r="L34" s="15" t="n"/>
    </row>
    <row r="35">
      <c r="A35" s="14" t="n">
        <v>34</v>
      </c>
      <c r="B35" s="14" t="inlineStr">
        <is>
          <t>spider-dev-00483</t>
        </is>
      </c>
      <c r="C35" s="14" t="inlineStr">
        <is>
          <t>wta_1</t>
        </is>
      </c>
      <c r="D35" s="14" t="inlineStr">
        <is>
          <t>How many matches were played in each year?</t>
        </is>
      </c>
      <c r="E35" s="14" t="inlineStr">
        <is>
          <t>Có bao nhiêu trận đấu được chơi trong mỗi năm?</t>
        </is>
      </c>
      <c r="F35" s="14" t="inlineStr">
        <is>
          <t>SELECT count(*) ,  YEAR FROM matches GROUP BY YEAR</t>
        </is>
      </c>
      <c r="G35" s="15" t="n"/>
      <c r="H35" s="15" t="n"/>
      <c r="I35" s="15" t="n"/>
      <c r="J35" s="15" t="n"/>
      <c r="K35" s="15" t="n"/>
      <c r="L35" s="15" t="n"/>
    </row>
    <row r="36">
      <c r="A36" s="14" t="n">
        <v>35</v>
      </c>
      <c r="B36" s="14" t="inlineStr">
        <is>
          <t>spider-dev-00497</t>
        </is>
      </c>
      <c r="C36" s="14" t="inlineStr">
        <is>
          <t>battle_death</t>
        </is>
      </c>
      <c r="D36" s="14" t="inlineStr">
        <is>
          <t>What are the death and injury situations caused by the ship with tonnage 't'?</t>
        </is>
      </c>
      <c r="E36" s="14" t="inlineStr">
        <is>
          <t>Tình hình tử vong và thương tích do tàu có tonnage 't' gây ra là gì?</t>
        </is>
      </c>
      <c r="F36" s="14" t="inlineStr">
        <is>
          <t>SELECT T1.killed ,  T1.injured FROM death AS T1 JOIN ship AS t2 ON T1.caused_by_ship_id  =  T2.id WHERE T2.tonnage  =  't'</t>
        </is>
      </c>
      <c r="G36" s="15" t="n"/>
      <c r="H36" s="15" t="n"/>
      <c r="I36" s="15" t="n"/>
      <c r="J36" s="15" t="n"/>
      <c r="K36" s="15" t="n"/>
      <c r="L36" s="15" t="n"/>
    </row>
    <row r="37">
      <c r="A37" s="14" t="n">
        <v>36</v>
      </c>
      <c r="B37" s="14" t="inlineStr">
        <is>
          <t>spider-dev-00512</t>
        </is>
      </c>
      <c r="C37" s="14" t="inlineStr">
        <is>
          <t>student_transcripts_tracking</t>
        </is>
      </c>
      <c r="D37" s="14" t="inlineStr">
        <is>
          <t>How is the math course described?</t>
        </is>
      </c>
      <c r="E37" s="14" t="inlineStr">
        <is>
          <t>Mô tả khóa học math được mô tả như thế nào?</t>
        </is>
      </c>
      <c r="F37" s="14" t="inlineStr">
        <is>
          <t>SELECT course_description FROM Courses WHERE course_name  =  'math'</t>
        </is>
      </c>
      <c r="G37" s="15" t="n"/>
      <c r="H37" s="15" t="n"/>
      <c r="I37" s="15" t="n"/>
      <c r="J37" s="15" t="n"/>
      <c r="K37" s="15" t="n"/>
      <c r="L37" s="15" t="n"/>
    </row>
    <row r="38">
      <c r="A38" s="14" t="n">
        <v>37</v>
      </c>
      <c r="B38" s="14" t="inlineStr">
        <is>
          <t>spider-dev-00534</t>
        </is>
      </c>
      <c r="C38" s="14" t="inlineStr">
        <is>
          <t>student_transcripts_tracking</t>
        </is>
      </c>
      <c r="D38" s="14" t="inlineStr">
        <is>
          <t>Who are enrolled in 2 degree programs in one semester? List the first name, middle name and last name and the id.</t>
        </is>
      </c>
      <c r="E38" s="14" t="inlineStr">
        <is>
          <t>Ai đã đăng ký học 2 degree programs trong một semester? Hãy liệt kê tên, tên đệm và họ, cùng với id.</t>
        </is>
      </c>
      <c r="F38" s="14" t="inlineStr">
        <is>
          <t>SELECT T1.first_name ,  T1.middle_name ,  T1.last_name ,  T1.student_id FROM Students AS T1 JOIN Student_Enrolment AS T2 ON T1.student_id  =  T2.student_id GROUP BY T1.student_id HAVING count(*)  =  2</t>
        </is>
      </c>
      <c r="G38" s="15" t="n"/>
      <c r="H38" s="15" t="n"/>
      <c r="I38" s="15" t="n"/>
      <c r="J38" s="15" t="n"/>
      <c r="K38" s="15" t="n"/>
      <c r="L38" s="15" t="n"/>
    </row>
    <row r="39">
      <c r="A39" s="14" t="n">
        <v>38</v>
      </c>
      <c r="B39" s="14" t="inlineStr">
        <is>
          <t>spider-dev-00535</t>
        </is>
      </c>
      <c r="C39" s="14" t="inlineStr">
        <is>
          <t>student_transcripts_tracking</t>
        </is>
      </c>
      <c r="D39" s="14" t="inlineStr">
        <is>
          <t>What are the first, middle, and last names, along with the ids, of all students who enrolled in 2 degree programs in one semester?</t>
        </is>
      </c>
      <c r="E39" s="14" t="inlineStr">
        <is>
          <t>Tên, tên đệm, họ, cùng với id của tất cả các sinh viên đã đăng ký 2 degree programs trong một semester là gì?</t>
        </is>
      </c>
      <c r="F39" s="14" t="inlineStr">
        <is>
          <t>SELECT T1.first_name ,  T1.middle_name ,  T1.last_name ,  T1.student_id FROM Students AS T1 JOIN Student_Enrolment AS T2 ON T1.student_id  =  T2.student_id GROUP BY T1.student_id HAVING count(*)  =  2</t>
        </is>
      </c>
      <c r="G39" s="15" t="n"/>
      <c r="H39" s="15" t="n"/>
      <c r="I39" s="15" t="n"/>
      <c r="J39" s="15" t="n"/>
      <c r="K39" s="15" t="n"/>
      <c r="L39" s="15" t="n"/>
    </row>
    <row r="40">
      <c r="A40" s="14" t="n">
        <v>39</v>
      </c>
      <c r="B40" s="14" t="inlineStr">
        <is>
          <t>spider-dev-00545</t>
        </is>
      </c>
      <c r="C40" s="14" t="inlineStr">
        <is>
          <t>student_transcripts_tracking</t>
        </is>
      </c>
      <c r="D40" s="14" t="inlineStr">
        <is>
          <t>What is the name of the semester with no students enrolled?</t>
        </is>
      </c>
      <c r="E40" s="14" t="inlineStr">
        <is>
          <t>Tên của học kỳ không có sinh viên nào được tuyển?</t>
        </is>
      </c>
      <c r="F40" s="14" t="inlineStr">
        <is>
          <t>SELECT semester_name FROM Semesters WHERE semester_id NOT IN( SELECT semester_id FROM Student_Enrolment )</t>
        </is>
      </c>
      <c r="G40" s="15" t="n"/>
      <c r="H40" s="15" t="n"/>
      <c r="I40" s="15" t="n"/>
      <c r="J40" s="15" t="n"/>
      <c r="K40" s="15" t="n"/>
      <c r="L40" s="15" t="n"/>
    </row>
    <row r="41">
      <c r="A41" s="14" t="n">
        <v>40</v>
      </c>
      <c r="B41" s="14" t="inlineStr">
        <is>
          <t>spider-dev-00548</t>
        </is>
      </c>
      <c r="C41" s="14" t="inlineStr">
        <is>
          <t>student_transcripts_tracking</t>
        </is>
      </c>
      <c r="D41" s="14" t="inlineStr">
        <is>
          <t>What's the name of the course with most number of enrollments?</t>
        </is>
      </c>
      <c r="E41" s="14" t="inlineStr">
        <is>
          <t>Tên của khóa học có số lượng đăng ký nhiều nhất là gì?</t>
        </is>
      </c>
      <c r="F41" s="14" t="inlineStr">
        <is>
          <t>SELECT  T1.course_name FROM Courses AS T1 JOIN Student_Enrolment_Courses AS T2 ON T1.course_id  =  T2.course_id GROUP BY T1.course_name ORDER BY count(*) DESC LIMIT 1</t>
        </is>
      </c>
      <c r="G41" s="15" t="n"/>
      <c r="H41" s="15" t="n"/>
      <c r="I41" s="15" t="n"/>
      <c r="J41" s="15" t="n"/>
      <c r="K41" s="15" t="n"/>
      <c r="L41" s="15" t="n"/>
    </row>
    <row r="42">
      <c r="A42" s="14" t="n">
        <v>41</v>
      </c>
      <c r="B42" s="14" t="inlineStr">
        <is>
          <t>spider-dev-00554</t>
        </is>
      </c>
      <c r="C42" s="14" t="inlineStr">
        <is>
          <t>student_transcripts_tracking</t>
        </is>
      </c>
      <c r="D42" s="14" t="inlineStr">
        <is>
          <t>What is the phone number of the man with the first name Timmothy and the last name Ward?</t>
        </is>
      </c>
      <c r="E42" s="14" t="inlineStr">
        <is>
          <t>Số điện thoại của người có tên riêng là Timmothy và họ là Ward là gì?</t>
        </is>
      </c>
      <c r="F42" s="14" t="inlineStr">
        <is>
          <t>SELECT cell_mobile_number FROM Students WHERE first_name  =  'Timmothy' AND last_name  =  'Ward'</t>
        </is>
      </c>
      <c r="G42" s="15" t="n"/>
      <c r="H42" s="15" t="n"/>
      <c r="I42" s="15" t="n"/>
      <c r="J42" s="15" t="n"/>
      <c r="K42" s="15" t="n"/>
      <c r="L42" s="15" t="n"/>
    </row>
    <row r="43">
      <c r="A43" s="14" t="n">
        <v>42</v>
      </c>
      <c r="B43" s="14" t="inlineStr">
        <is>
          <t>spider-dev-00555</t>
        </is>
      </c>
      <c r="C43" s="14" t="inlineStr">
        <is>
          <t>student_transcripts_tracking</t>
        </is>
      </c>
      <c r="D43" s="14" t="inlineStr">
        <is>
          <t>What is the mobile phone number of the student named Timmothy Ward ?</t>
        </is>
      </c>
      <c r="E43" s="14" t="inlineStr">
        <is>
          <t>Số điện thoại di động của sinh viên có tên là Timmothy Ward là gì?</t>
        </is>
      </c>
      <c r="F43" s="14" t="inlineStr">
        <is>
          <t>select cell_mobile_number from students where first_name  =  'timmothy' and last_name  =  'ward'</t>
        </is>
      </c>
      <c r="G43" s="15" t="n"/>
      <c r="H43" s="15" t="n"/>
      <c r="I43" s="15" t="n"/>
      <c r="J43" s="15" t="n"/>
      <c r="K43" s="15" t="n"/>
      <c r="L43" s="15" t="n"/>
    </row>
    <row r="44">
      <c r="A44" s="14" t="n">
        <v>43</v>
      </c>
      <c r="B44" s="14" t="inlineStr">
        <is>
          <t>spider-dev-00577</t>
        </is>
      </c>
      <c r="C44" s="14" t="inlineStr">
        <is>
          <t>student_transcripts_tracking</t>
        </is>
      </c>
      <c r="D44" s="14" t="inlineStr">
        <is>
          <t>What is the id of the semester that had both Masters and Bachelors students enrolled?</t>
        </is>
      </c>
      <c r="E44" s="14" t="inlineStr">
        <is>
          <t>id của semester nào có cả sinh viên Master và Bachelor được tuyển?</t>
        </is>
      </c>
      <c r="F44" s="14" t="inlineStr">
        <is>
          <t>SELECT DISTINCT T2.semester_id FROM Degree_Programs AS T1 JOIN Student_Enrolment AS T2 ON T1.degree_program_id  =  T2.degree_program_id WHERE degree_summary_name  =  'Master' INTERSECT SELECT DISTINCT T2.semester_id FROM Degree_Programs AS T1 JOIN Student_Enrolment AS T2 ON T1.degree_program_id  =  T2.degree_program_id WHERE degree_summary_name  =  'Bachelor'</t>
        </is>
      </c>
      <c r="G44" s="15" t="n"/>
      <c r="H44" s="15" t="n"/>
      <c r="I44" s="15" t="n"/>
      <c r="J44" s="15" t="n"/>
      <c r="K44" s="15" t="n"/>
      <c r="L44" s="15" t="n"/>
    </row>
    <row r="45">
      <c r="A45" s="14" t="n">
        <v>44</v>
      </c>
      <c r="B45" s="14" t="inlineStr">
        <is>
          <t>spider-dev-00598</t>
        </is>
      </c>
      <c r="C45" s="14" t="inlineStr">
        <is>
          <t>tvshow</t>
        </is>
      </c>
      <c r="D45" s="14" t="inlineStr">
        <is>
          <t>List the number of different series names and contents in the TV Channel table.</t>
        </is>
      </c>
      <c r="E45" s="14" t="inlineStr">
        <is>
          <t>Liệt kê số lượng các series name khác nhau và các nội dung trong bảng TV_Channel.</t>
        </is>
      </c>
      <c r="F45" s="14" t="inlineStr">
        <is>
          <t>SELECT count(DISTINCT series_name) ,  count(DISTINCT content) FROM TV_Channel;</t>
        </is>
      </c>
      <c r="G45" s="15" t="n"/>
      <c r="H45" s="15" t="n"/>
      <c r="I45" s="15" t="n"/>
      <c r="J45" s="15" t="n"/>
      <c r="K45" s="15" t="n"/>
      <c r="L45" s="15" t="n"/>
    </row>
    <row r="46">
      <c r="A46" s="14" t="n">
        <v>45</v>
      </c>
      <c r="B46" s="14" t="inlineStr">
        <is>
          <t>spider-dev-00606</t>
        </is>
      </c>
      <c r="C46" s="14" t="inlineStr">
        <is>
          <t>tvshow</t>
        </is>
      </c>
      <c r="D46" s="14" t="inlineStr">
        <is>
          <t>List the language used least number of TV Channel. List language and number of TV Channel.</t>
        </is>
      </c>
      <c r="E46" s="14" t="inlineStr">
        <is>
          <t>Liệt kê ngôn ngữ được sử dụng ít nhất cho các TV_Channel. Liệt kê ngôn ngữ và số lượng TV_Channel.</t>
        </is>
      </c>
      <c r="F46" s="14" t="inlineStr">
        <is>
          <t>SELECT LANGUAGE ,  count(*) FROM TV_Channel GROUP BY LANGUAGE ORDER BY count(*) ASC LIMIT 1;</t>
        </is>
      </c>
      <c r="G46" s="15" t="n"/>
      <c r="H46" s="15" t="n"/>
      <c r="I46" s="15" t="n"/>
      <c r="J46" s="15" t="n"/>
      <c r="K46" s="15" t="n"/>
      <c r="L46" s="15" t="n"/>
    </row>
    <row r="47">
      <c r="A47" s="14" t="n">
        <v>46</v>
      </c>
      <c r="B47" s="14" t="inlineStr">
        <is>
          <t>spider-dev-00619</t>
        </is>
      </c>
      <c r="C47" s="14" t="inlineStr">
        <is>
          <t>tvshow</t>
        </is>
      </c>
      <c r="D47" s="14" t="inlineStr">
        <is>
          <t>What is the maximum and minimum share for the TV series?</t>
        </is>
      </c>
      <c r="E47" s="14" t="inlineStr">
        <is>
          <t>Giá trị share lớn nhất và nhỏ nhất cho các TV series là bao nhiêu?</t>
        </is>
      </c>
      <c r="F47" s="14" t="inlineStr">
        <is>
          <t>SELECT max(SHARE) , min(SHARE) FROM TV_series;</t>
        </is>
      </c>
      <c r="G47" s="15" t="n"/>
      <c r="H47" s="15" t="n"/>
      <c r="I47" s="15" t="n"/>
      <c r="J47" s="15" t="n"/>
      <c r="K47" s="15" t="n"/>
      <c r="L47" s="15" t="n"/>
    </row>
    <row r="48">
      <c r="A48" s="14" t="n">
        <v>47</v>
      </c>
      <c r="B48" s="14" t="inlineStr">
        <is>
          <t>spider-dev-00624</t>
        </is>
      </c>
      <c r="C48" s="14" t="inlineStr">
        <is>
          <t>tvshow</t>
        </is>
      </c>
      <c r="D48" s="14" t="inlineStr">
        <is>
          <t>What is the TV Channel of TV series with Episode "A Love of a Lifetime"? List the TV Channel's series name.</t>
        </is>
      </c>
      <c r="E48" s="14" t="inlineStr">
        <is>
          <t>Kênh TV nào của TV series có Episode là "A Love of a Lifetime"? Hãy liệt kê tên series của kênh TV.</t>
        </is>
      </c>
      <c r="F48" s="14" t="inlineStr">
        <is>
          <t>SELECT T1.series_name FROM TV_Channel AS T1 JOIN TV_series AS T2 ON T1.id = T2.Channel WHERE T2.Episode = "A Love of a Lifetime";</t>
        </is>
      </c>
      <c r="G48" s="15" t="n"/>
      <c r="H48" s="15" t="n"/>
      <c r="I48" s="15" t="n"/>
      <c r="J48" s="15" t="n"/>
      <c r="K48" s="15" t="n"/>
      <c r="L48" s="15" t="n"/>
    </row>
    <row r="49">
      <c r="A49" s="14" t="n">
        <v>48</v>
      </c>
      <c r="B49" s="14" t="inlineStr">
        <is>
          <t>spider-dev-00625</t>
        </is>
      </c>
      <c r="C49" s="14" t="inlineStr">
        <is>
          <t>tvshow</t>
        </is>
      </c>
      <c r="D49" s="14" t="inlineStr">
        <is>
          <t>What is the name of the series that has the episode "A Love of a Lifetime"?</t>
        </is>
      </c>
      <c r="E49" s="14" t="inlineStr">
        <is>
          <t>Tên của series có phầnisode "A Love of a Lifetime" là gì?</t>
        </is>
      </c>
      <c r="F49" s="14" t="inlineStr">
        <is>
          <t>SELECT T1.series_name FROM TV_Channel AS T1 JOIN TV_series AS T2 ON T1.id = T2.Channel WHERE T2.Episode = "A Love of a Lifetime";</t>
        </is>
      </c>
      <c r="G49" s="15" t="n"/>
      <c r="H49" s="15" t="n"/>
      <c r="I49" s="15" t="n"/>
      <c r="J49" s="15" t="n"/>
      <c r="K49" s="15" t="n"/>
      <c r="L49" s="15" t="n"/>
    </row>
    <row r="50">
      <c r="A50" s="14" t="n">
        <v>49</v>
      </c>
      <c r="B50" s="14" t="inlineStr">
        <is>
          <t>spider-dev-00633</t>
        </is>
      </c>
      <c r="C50" s="14" t="inlineStr">
        <is>
          <t>tvshow</t>
        </is>
      </c>
      <c r="D50" s="14" t="inlineStr">
        <is>
          <t>What are the package options and the name of the series for the TV Channel that supports high definition TV?</t>
        </is>
      </c>
      <c r="E50" s="14" t="inlineStr">
        <is>
          <t>Các tùy chọn gói và tên của series cho kênh truyền hình hỗ trợ truyền hình độ phân giải cao là gì?</t>
        </is>
      </c>
      <c r="F50" s="14" t="inlineStr">
        <is>
          <t>SELECT package_option ,  series_name FROM TV_Channel WHERE hight_definition_TV  =  "yes"</t>
        </is>
      </c>
      <c r="G50" s="15" t="n"/>
      <c r="H50" s="15" t="n"/>
      <c r="I50" s="15" t="n"/>
      <c r="J50" s="15" t="n"/>
      <c r="K50" s="15" t="n"/>
      <c r="L50" s="15" t="n"/>
    </row>
    <row r="51">
      <c r="A51" s="14" t="n">
        <v>50</v>
      </c>
      <c r="B51" s="14" t="inlineStr">
        <is>
          <t>spider-dev-00640</t>
        </is>
      </c>
      <c r="C51" s="14" t="inlineStr">
        <is>
          <t>tvshow</t>
        </is>
      </c>
      <c r="D51" s="14" t="inlineStr">
        <is>
          <t>find the pixel aspect ratio and nation of the tv channels that do not use English.</t>
        </is>
      </c>
      <c r="E51" s="14" t="inlineStr">
        <is>
          <t>Tìm tỷ lệ khung ảnh (pixel aspect ratio) và quốc gia của các kênh truyền hình không sử dụng tiếng Anh.</t>
        </is>
      </c>
      <c r="F51" s="14" t="inlineStr">
        <is>
          <t>SELECT Pixel_aspect_ratio_PAR ,  country FROM tv_channel WHERE LANGUAGE != 'English'</t>
        </is>
      </c>
      <c r="G51" s="15" t="n"/>
      <c r="H51" s="15" t="n"/>
      <c r="I51" s="15" t="n"/>
      <c r="J51" s="15" t="n"/>
      <c r="K51" s="15" t="n"/>
      <c r="L51" s="15" t="n"/>
    </row>
    <row r="52">
      <c r="A52" s="14" t="n">
        <v>51</v>
      </c>
      <c r="B52" s="14" t="inlineStr">
        <is>
          <t>spider-dev-00663</t>
        </is>
      </c>
      <c r="C52" s="14" t="inlineStr">
        <is>
          <t>poker_player</t>
        </is>
      </c>
      <c r="D52" s="14" t="inlineStr">
        <is>
          <t>Give the names of poker players who have earnings above 300000.</t>
        </is>
      </c>
      <c r="E52" s="14" t="inlineStr">
        <is>
          <t>Hãy cho biết tên của các poker player có Earnings lớn hơn 300000.</t>
        </is>
      </c>
      <c r="F52" s="14" t="inlineStr">
        <is>
          <t>SELECT T1.Name FROM people AS T1 JOIN poker_player AS T2 ON T1.People_ID  =  T2.People_ID WHERE T2.Earnings  &gt;  300000</t>
        </is>
      </c>
      <c r="G52" s="15" t="n"/>
      <c r="H52" s="15" t="n"/>
      <c r="I52" s="15" t="n"/>
      <c r="J52" s="15" t="n"/>
      <c r="K52" s="15" t="n"/>
      <c r="L52" s="15" t="n"/>
    </row>
    <row r="53">
      <c r="A53" s="14" t="n">
        <v>52</v>
      </c>
      <c r="B53" s="14" t="inlineStr">
        <is>
          <t>spider-dev-00672</t>
        </is>
      </c>
      <c r="C53" s="14" t="inlineStr">
        <is>
          <t>poker_player</t>
        </is>
      </c>
      <c r="D53" s="14" t="inlineStr">
        <is>
          <t>What are the names of poker players in descending order of earnings?</t>
        </is>
      </c>
      <c r="E53" s="14" t="inlineStr">
        <is>
          <t>Tên của các người chơi poker được sắp xếp theo thứ tự giảm dần của số tiền kiếm được.</t>
        </is>
      </c>
      <c r="F53" s="14" t="inlineStr">
        <is>
          <t>SELECT T1.Name FROM people AS T1 JOIN poker_player AS T2 ON T1.People_ID  =  T2.People_ID ORDER BY T2.Earnings DESC</t>
        </is>
      </c>
      <c r="G53" s="15" t="n"/>
      <c r="H53" s="15" t="n"/>
      <c r="I53" s="15" t="n"/>
      <c r="J53" s="15" t="n"/>
      <c r="K53" s="15" t="n"/>
      <c r="L53" s="15" t="n"/>
    </row>
    <row r="54">
      <c r="A54" s="14" t="n">
        <v>53</v>
      </c>
      <c r="B54" s="14" t="inlineStr">
        <is>
          <t>spider-dev-00679</t>
        </is>
      </c>
      <c r="C54" s="14" t="inlineStr">
        <is>
          <t>poker_player</t>
        </is>
      </c>
      <c r="D54" s="14" t="inlineStr">
        <is>
          <t>Return the nationalities for which there are two or more people.</t>
        </is>
      </c>
      <c r="E54" s="14" t="inlineStr">
        <is>
          <t>Trả về các quốc tịch có từ hai người trở lên.</t>
        </is>
      </c>
      <c r="F54" s="14" t="inlineStr">
        <is>
          <t>SELECT Nationality FROM people GROUP BY Nationality HAVING COUNT(*)  &gt;=  2</t>
        </is>
      </c>
      <c r="G54" s="15" t="n"/>
      <c r="H54" s="15" t="n"/>
      <c r="I54" s="15" t="n"/>
      <c r="J54" s="15" t="n"/>
      <c r="K54" s="15" t="n"/>
      <c r="L54" s="15" t="n"/>
    </row>
    <row r="55">
      <c r="A55" s="14" t="n">
        <v>54</v>
      </c>
      <c r="B55" s="14" t="inlineStr">
        <is>
          <t>spider-dev-00681</t>
        </is>
      </c>
      <c r="C55" s="14" t="inlineStr">
        <is>
          <t>poker_player</t>
        </is>
      </c>
      <c r="D55" s="14" t="inlineStr">
        <is>
          <t>What are the names and birth dates of people, ordered by their names in alphabetical order?</t>
        </is>
      </c>
      <c r="E55" s="14" t="inlineStr">
        <is>
          <t>Tên và ngày sinh của các người, được sắp xếp theo thứ tự bảng chữ cái của tên.</t>
        </is>
      </c>
      <c r="F55" s="14" t="inlineStr">
        <is>
          <t>SELECT Name ,  Birth_Date FROM people ORDER BY Name ASC</t>
        </is>
      </c>
      <c r="G55" s="15" t="n"/>
      <c r="H55" s="15" t="n"/>
      <c r="I55" s="15" t="n"/>
      <c r="J55" s="15" t="n"/>
      <c r="K55" s="15" t="n"/>
      <c r="L55" s="15" t="n"/>
    </row>
    <row r="56">
      <c r="A56" s="14" t="n">
        <v>55</v>
      </c>
      <c r="B56" s="14" t="inlineStr">
        <is>
          <t>spider-dev-00689</t>
        </is>
      </c>
      <c r="C56" s="14" t="inlineStr">
        <is>
          <t>voter_1</t>
        </is>
      </c>
      <c r="D56" s="14" t="inlineStr">
        <is>
          <t>List the contestant numbers and names, ordered by contestant name descending.</t>
        </is>
      </c>
      <c r="E56" s="14" t="inlineStr">
        <is>
          <t>Liệt kê các số hiệu người thi đấu và tên họ, được sắp xếp theo thứ tự giảm dần của tên người thi đấu.</t>
        </is>
      </c>
      <c r="F56" s="14" t="inlineStr">
        <is>
          <t>SELECT contestant_number ,  contestant_name FROM contestants ORDER BY contestant_name DESC</t>
        </is>
      </c>
      <c r="G56" s="15" t="n"/>
      <c r="H56" s="15" t="n"/>
      <c r="I56" s="15" t="n"/>
      <c r="J56" s="15" t="n"/>
      <c r="K56" s="15" t="n"/>
      <c r="L56" s="15" t="n"/>
    </row>
    <row r="57">
      <c r="A57" s="14" t="n">
        <v>56</v>
      </c>
      <c r="B57" s="14" t="inlineStr">
        <is>
          <t>spider-dev-00705</t>
        </is>
      </c>
      <c r="C57" s="14" t="inlineStr">
        <is>
          <t>world_1</t>
        </is>
      </c>
      <c r="D57" s="14" t="inlineStr">
        <is>
          <t>How many countries have a republic as their form of government?</t>
        </is>
      </c>
      <c r="E57" s="14" t="inlineStr">
        <is>
          <t>Có bao nhiêu quốc gia có thể chế chính phủ là một Cộng hòa?</t>
        </is>
      </c>
      <c r="F57" s="14" t="inlineStr">
        <is>
          <t>SELECT count(*) FROM country WHERE GovernmentForm  =  "Republic"</t>
        </is>
      </c>
      <c r="G57" s="15" t="n"/>
      <c r="H57" s="15" t="n"/>
      <c r="I57" s="15" t="n"/>
      <c r="J57" s="15" t="n"/>
      <c r="K57" s="15" t="n"/>
      <c r="L57" s="15" t="n"/>
    </row>
    <row r="58">
      <c r="A58" s="14" t="n">
        <v>57</v>
      </c>
      <c r="B58" s="14" t="inlineStr">
        <is>
          <t>spider-dev-00708</t>
        </is>
      </c>
      <c r="C58" s="14" t="inlineStr">
        <is>
          <t>world_1</t>
        </is>
      </c>
      <c r="D58" s="14" t="inlineStr">
        <is>
          <t>How much surface area do the countires in the Carribean cover together?</t>
        </is>
      </c>
      <c r="E58" s="14" t="inlineStr">
        <is>
          <t>Diện tích đất mà các quốc gia ở Caribbean bao phủ tổng cộng là bao nhiêu?</t>
        </is>
      </c>
      <c r="F58" s="14" t="inlineStr">
        <is>
          <t>SELECT sum(SurfaceArea) FROM country WHERE Region  =  "Caribbean"</t>
        </is>
      </c>
      <c r="G58" s="15" t="n"/>
      <c r="H58" s="15" t="n"/>
      <c r="I58" s="15" t="n"/>
      <c r="J58" s="15" t="n"/>
      <c r="K58" s="15" t="n"/>
      <c r="L58" s="15" t="n"/>
    </row>
    <row r="59">
      <c r="A59" s="14" t="n">
        <v>58</v>
      </c>
      <c r="B59" s="14" t="inlineStr">
        <is>
          <t>spider-dev-00716</t>
        </is>
      </c>
      <c r="C59" s="14" t="inlineStr">
        <is>
          <t>world_1</t>
        </is>
      </c>
      <c r="D59" s="14" t="inlineStr">
        <is>
          <t>Give me Brazil’s population and life expectancies.</t>
        </is>
      </c>
      <c r="E59" s="14" t="inlineStr">
        <is>
          <t>Cho tôi biết dân số và tuổi thọ trung bình của Brazil.</t>
        </is>
      </c>
      <c r="F59" s="14" t="inlineStr">
        <is>
          <t>SELECT Population ,  LifeExpectancy FROM country WHERE Name  =  "Brazil"</t>
        </is>
      </c>
      <c r="G59" s="15" t="n"/>
      <c r="H59" s="15" t="n"/>
      <c r="I59" s="15" t="n"/>
      <c r="J59" s="15" t="n"/>
      <c r="K59" s="15" t="n"/>
      <c r="L59" s="15" t="n"/>
    </row>
    <row r="60">
      <c r="A60" s="14" t="n">
        <v>59</v>
      </c>
      <c r="B60" s="14" t="inlineStr">
        <is>
          <t>spider-dev-00723</t>
        </is>
      </c>
      <c r="C60" s="14" t="inlineStr">
        <is>
          <t>world_1</t>
        </is>
      </c>
      <c r="D60" s="14" t="inlineStr">
        <is>
          <t>What is the total population and maximum GNP in Asia?</t>
        </is>
      </c>
      <c r="E60" s="14" t="inlineStr">
        <is>
          <t>Tổng dân số và GNP tối đa ở châu Á là bao nhiêu?</t>
        </is>
      </c>
      <c r="F60" s="14" t="inlineStr">
        <is>
          <t>SELECT sum(Population) ,  max(GNP) FROM country WHERE Continent  =  "Asia"</t>
        </is>
      </c>
      <c r="G60" s="15" t="n"/>
      <c r="H60" s="15" t="n"/>
      <c r="I60" s="15" t="n"/>
      <c r="J60" s="15" t="n"/>
      <c r="K60" s="15" t="n"/>
      <c r="L60" s="15" t="n"/>
    </row>
    <row r="61">
      <c r="A61" s="14" t="n">
        <v>60</v>
      </c>
      <c r="B61" s="14" t="inlineStr">
        <is>
          <t>spider-dev-00732</t>
        </is>
      </c>
      <c r="C61" s="14" t="inlineStr">
        <is>
          <t>world_1</t>
        </is>
      </c>
      <c r="D61" s="14" t="inlineStr">
        <is>
          <t>Give the mean GNP and total population of nations which are considered US territory.</t>
        </is>
      </c>
      <c r="E61" s="14" t="inlineStr">
        <is>
          <t>Hãy tính giá trị trung bình GNP và tổng dân số của các quốc gia được coi là thuộc địa phận Hoa Kỳ.</t>
        </is>
      </c>
      <c r="F61" s="14" t="inlineStr">
        <is>
          <t>SELECT avg(GNP) ,  sum(population) FROM country WHERE GovernmentForm  =  "US Territory"</t>
        </is>
      </c>
      <c r="G61" s="15" t="n"/>
      <c r="H61" s="15" t="n"/>
      <c r="I61" s="15" t="n"/>
      <c r="J61" s="15" t="n"/>
      <c r="K61" s="15" t="n"/>
      <c r="L61" s="15" t="n"/>
    </row>
    <row r="62">
      <c r="A62" s="14" t="n">
        <v>61</v>
      </c>
      <c r="B62" s="14" t="inlineStr">
        <is>
          <t>spider-dev-00734</t>
        </is>
      </c>
      <c r="C62" s="14" t="inlineStr">
        <is>
          <t>world_1</t>
        </is>
      </c>
      <c r="D62" s="14" t="inlineStr">
        <is>
          <t>What is the number of distinct languages used around the world?</t>
        </is>
      </c>
      <c r="E62" s="14" t="inlineStr">
        <is>
          <t>Số lượng ngôn ngữ khác nhau được sử dụng trên toàn thế giới là bao nhiêu?</t>
        </is>
      </c>
      <c r="F62" s="14" t="inlineStr">
        <is>
          <t>SELECT count(DISTINCT LANGUAGE) FROM countrylanguage</t>
        </is>
      </c>
      <c r="G62" s="15" t="n"/>
      <c r="H62" s="15" t="n"/>
      <c r="I62" s="15" t="n"/>
      <c r="J62" s="15" t="n"/>
      <c r="K62" s="15" t="n"/>
      <c r="L62" s="15" t="n"/>
    </row>
    <row r="63">
      <c r="A63" s="14" t="n">
        <v>62</v>
      </c>
      <c r="B63" s="14" t="inlineStr">
        <is>
          <t>spider-dev-00737</t>
        </is>
      </c>
      <c r="C63" s="14" t="inlineStr">
        <is>
          <t>world_1</t>
        </is>
      </c>
      <c r="D63" s="14" t="inlineStr">
        <is>
          <t>What is the total number of languages used in Aruba?</t>
        </is>
      </c>
      <c r="E63" s="14" t="inlineStr">
        <is>
          <t>Tổng số ngôn ngữ được sử dụng ở Aruba là bao nhiêu?</t>
        </is>
      </c>
      <c r="F63" s="14" t="inlineStr">
        <is>
          <t>SELECT COUNT(T2.Language) FROM country AS T1 JOIN countrylanguage AS T2 ON T1.Code  =  T2.CountryCode WHERE T1.Name  =  "Aruba"</t>
        </is>
      </c>
      <c r="G63" s="15" t="n"/>
      <c r="H63" s="15" t="n"/>
      <c r="I63" s="15" t="n"/>
      <c r="J63" s="15" t="n"/>
      <c r="K63" s="15" t="n"/>
      <c r="L63" s="15" t="n"/>
    </row>
    <row r="64">
      <c r="A64" s="14" t="n">
        <v>63</v>
      </c>
      <c r="B64" s="14" t="inlineStr">
        <is>
          <t>spider-dev-00749</t>
        </is>
      </c>
      <c r="C64" s="14" t="inlineStr">
        <is>
          <t>world_1</t>
        </is>
      </c>
      <c r="D64" s="14" t="inlineStr">
        <is>
          <t>What are the names of nations where both English and French are official languages?</t>
        </is>
      </c>
      <c r="E64" s="14" t="inlineStr">
        <is>
          <t>Tên của các quốc gia nơi cả tiếng Anh và tiếng Pháp đều là ngôn ngữ chính thức là gì?</t>
        </is>
      </c>
      <c r="F64" s="14" t="inlineStr">
        <is>
          <t>SELECT T1.Name FROM country AS T1 JOIN countrylanguage AS T2 ON T1.Code  =  T2.CountryCode WHERE T2.Language  =  "English" AND T2.IsOfficial  =  "T" INTERSECT SELECT T1.Name FROM country AS T1 JOIN countrylanguage AS T2 ON T1.Code  =  T2.CountryCode WHERE T2.Language  =  "French" AND T2.IsOfficial  =  "T"</t>
        </is>
      </c>
      <c r="G64" s="15" t="n"/>
      <c r="H64" s="15" t="n"/>
      <c r="I64" s="15" t="n"/>
      <c r="J64" s="15" t="n"/>
      <c r="K64" s="15" t="n"/>
      <c r="L64" s="15" t="n"/>
    </row>
    <row r="65">
      <c r="A65" s="14" t="n">
        <v>64</v>
      </c>
      <c r="B65" s="14" t="inlineStr">
        <is>
          <t>spider-dev-00770</t>
        </is>
      </c>
      <c r="C65" s="14" t="inlineStr">
        <is>
          <t>world_1</t>
        </is>
      </c>
      <c r="D65" s="14" t="inlineStr">
        <is>
          <t>What is the official language used in the country the name of whose head of state is Beatrix.</t>
        </is>
      </c>
      <c r="E65" s="14" t="inlineStr">
        <is>
          <t>Ngôn ngữ chính thức được sử dụng ở quốc gia có tên người đứng đầu là Beatrix là gì?</t>
        </is>
      </c>
      <c r="F65" s="14" t="inlineStr">
        <is>
          <t>SELECT T2.Language FROM country AS T1 JOIN countrylanguage AS T2 ON T1.Code  =  T2.CountryCode WHERE T1.HeadOfState  =  "Beatrix" AND T2.IsOfficial  =  "T"</t>
        </is>
      </c>
      <c r="G65" s="15" t="n"/>
      <c r="H65" s="15" t="n"/>
      <c r="I65" s="15" t="n"/>
      <c r="J65" s="15" t="n"/>
      <c r="K65" s="15" t="n"/>
      <c r="L65" s="15" t="n"/>
    </row>
    <row r="66">
      <c r="A66" s="14" t="n">
        <v>65</v>
      </c>
      <c r="B66" s="14" t="inlineStr">
        <is>
          <t>spider-dev-00771</t>
        </is>
      </c>
      <c r="C66" s="14" t="inlineStr">
        <is>
          <t>world_1</t>
        </is>
      </c>
      <c r="D66" s="14" t="inlineStr">
        <is>
          <t>What is the total number of unique official languages spoken in the countries that are founded before 1930?</t>
        </is>
      </c>
      <c r="E66" s="14" t="inlineStr">
        <is>
          <t>Tổng số ngôn ngữ chính thức duy nhất được nói trong các quốc gia được thành lập trước năm 1930 là bao nhiêu?</t>
        </is>
      </c>
      <c r="F66" s="14" t="inlineStr">
        <is>
          <t>SELECT count(DISTINCT T2.Language) FROM country AS T1 JOIN countrylanguage AS T2 ON T1.Code  =  T2.CountryCode WHERE  IndepYear  &lt;  1930 AND T2.IsOfficial  =  "T"</t>
        </is>
      </c>
      <c r="G66" s="15" t="n"/>
      <c r="H66" s="15" t="n"/>
      <c r="I66" s="15" t="n"/>
      <c r="J66" s="15" t="n"/>
      <c r="K66" s="15" t="n"/>
      <c r="L66" s="15" t="n"/>
    </row>
    <row r="67">
      <c r="A67" s="14" t="n">
        <v>66</v>
      </c>
      <c r="B67" s="14" t="inlineStr">
        <is>
          <t>spider-dev-00784</t>
        </is>
      </c>
      <c r="C67" s="14" t="inlineStr">
        <is>
          <t>world_1</t>
        </is>
      </c>
      <c r="D67" s="14" t="inlineStr">
        <is>
          <t>Return the codes of countries that do not speak English and do not have Republics for governments.</t>
        </is>
      </c>
      <c r="E67" s="14" t="inlineStr">
        <is>
          <t>Trả về các mã quốc gia không nói tiếng Anh và không có chế độ chính phủ là Cộng hòa.</t>
        </is>
      </c>
      <c r="F67" s="14" t="inlineStr">
        <is>
          <t>SELECT Code FROM country WHERE GovernmentForm != "Republic" EXCEPT SELECT CountryCode FROM countrylanguage WHERE LANGUAGE  =  "English"</t>
        </is>
      </c>
      <c r="G67" s="15" t="n"/>
      <c r="H67" s="15" t="n"/>
      <c r="I67" s="15" t="n"/>
      <c r="J67" s="15" t="n"/>
      <c r="K67" s="15" t="n"/>
      <c r="L67" s="15" t="n"/>
    </row>
    <row r="68">
      <c r="A68" s="14" t="n">
        <v>67</v>
      </c>
      <c r="B68" s="14" t="inlineStr">
        <is>
          <t>spider-dev-00786</t>
        </is>
      </c>
      <c r="C68" s="14" t="inlineStr">
        <is>
          <t>world_1</t>
        </is>
      </c>
      <c r="D68" s="14" t="inlineStr">
        <is>
          <t>What are the names of cities in Europe for which English is not the official language?</t>
        </is>
      </c>
      <c r="E68" s="14" t="inlineStr">
        <is>
          <t>Tên của các thành phố ở châu Âu nơi tiếng Anh không phải là ngôn ngữ chính thức là gì?</t>
        </is>
      </c>
      <c r="F68" s="14" t="inlineStr">
        <is>
          <t>SELECT DISTINCT T2.Name FROM country AS T1 JOIN city AS T2 ON T2.CountryCode  =  T1.Code WHERE T1.Continent  =  'Europe' AND T1.Name NOT IN (SELECT T3.Name FROM country AS T3 JOIN countrylanguage AS T4 ON T3.Code  =  T4.CountryCode WHERE T4.IsOfficial  =  'T' AND T4.Language  =  'English')</t>
        </is>
      </c>
      <c r="G68" s="15" t="n"/>
      <c r="H68" s="15" t="n"/>
      <c r="I68" s="15" t="n"/>
      <c r="J68" s="15" t="n"/>
      <c r="K68" s="15" t="n"/>
      <c r="L68" s="15" t="n"/>
    </row>
    <row r="69">
      <c r="A69" s="14" t="n">
        <v>68</v>
      </c>
      <c r="B69" s="14" t="inlineStr">
        <is>
          <t>spider-dev-00791</t>
        </is>
      </c>
      <c r="C69" s="14" t="inlineStr">
        <is>
          <t>world_1</t>
        </is>
      </c>
      <c r="D69" s="14" t="inlineStr">
        <is>
          <t>What are the population, name and leader of the country with the largest area?</t>
        </is>
      </c>
      <c r="E69" s="14" t="inlineStr">
        <is>
          <t>Dân số, tên và người lãnh đạo của quốc gia có diện tích lớn nhất là gì?</t>
        </is>
      </c>
      <c r="F69" s="14" t="inlineStr">
        <is>
          <t>SELECT Name ,  population ,  HeadOfState FROM country ORDER BY SurfaceArea DESC LIMIT 1</t>
        </is>
      </c>
      <c r="G69" s="15" t="n"/>
      <c r="H69" s="15" t="n"/>
      <c r="I69" s="15" t="n"/>
      <c r="J69" s="15" t="n"/>
      <c r="K69" s="15" t="n"/>
      <c r="L69" s="15" t="n"/>
    </row>
    <row r="70">
      <c r="A70" s="14" t="n">
        <v>69</v>
      </c>
      <c r="B70" s="14" t="inlineStr">
        <is>
          <t>spider-dev-00794</t>
        </is>
      </c>
      <c r="C70" s="14" t="inlineStr">
        <is>
          <t>world_1</t>
        </is>
      </c>
      <c r="D70" s="14" t="inlineStr">
        <is>
          <t>What are the names of countries that speak more than 2 languages, as well as how many languages they speak?</t>
        </is>
      </c>
      <c r="E70" s="14" t="inlineStr">
        <is>
          <t>Tên của những quốc gia nói nhiều hơn 2 ngôn ngữ, cùng với số lượng ngôn ngữ mà chúng nói là gì?</t>
        </is>
      </c>
      <c r="F70" s="14" t="inlineStr">
        <is>
          <t>SELECT COUNT(T2.Language) ,  T1.Name FROM country AS T1 JOIN countrylanguage AS T2 ON T1.Code  =  T2.CountryCode GROUP BY T1.Name HAVING COUNT(*)  &gt;  2</t>
        </is>
      </c>
      <c r="G70" s="15" t="n"/>
      <c r="H70" s="15" t="n"/>
      <c r="I70" s="15" t="n"/>
      <c r="J70" s="15" t="n"/>
      <c r="K70" s="15" t="n"/>
      <c r="L70" s="15" t="n"/>
    </row>
    <row r="71">
      <c r="A71" s="14" t="n">
        <v>70</v>
      </c>
      <c r="B71" s="14" t="inlineStr">
        <is>
          <t>spider-dev-00808</t>
        </is>
      </c>
      <c r="C71" s="14" t="inlineStr">
        <is>
          <t>world_1</t>
        </is>
      </c>
      <c r="D71" s="14" t="inlineStr">
        <is>
          <t>Count the number of countries in Asia.</t>
        </is>
      </c>
      <c r="E71" s="14" t="inlineStr">
        <is>
          <t>Đếm số lượng quốc gia ở châu Á.</t>
        </is>
      </c>
      <c r="F71" s="14" t="inlineStr">
        <is>
          <t>SELECT count(*) FROM country WHERE continent  =  "Asia"</t>
        </is>
      </c>
      <c r="G71" s="15" t="n"/>
      <c r="H71" s="15" t="n"/>
      <c r="I71" s="15" t="n"/>
      <c r="J71" s="15" t="n"/>
      <c r="K71" s="15" t="n"/>
      <c r="L71" s="15" t="n"/>
    </row>
    <row r="72">
      <c r="A72" s="14" t="n">
        <v>71</v>
      </c>
      <c r="B72" s="14" t="inlineStr">
        <is>
          <t>spider-dev-00824</t>
        </is>
      </c>
      <c r="C72" s="14" t="inlineStr">
        <is>
          <t>orchestra</t>
        </is>
      </c>
      <c r="D72" s="14" t="inlineStr">
        <is>
          <t>Count the number of conductors.</t>
        </is>
      </c>
      <c r="E72" s="14" t="inlineStr">
        <is>
          <t>Đếm số lượng các nhạc trưởng.</t>
        </is>
      </c>
      <c r="F72" s="14" t="inlineStr">
        <is>
          <t>SELECT count(*) FROM conductor</t>
        </is>
      </c>
      <c r="G72" s="15" t="n"/>
      <c r="H72" s="15" t="n"/>
      <c r="I72" s="15" t="n"/>
      <c r="J72" s="15" t="n"/>
      <c r="K72" s="15" t="n"/>
      <c r="L72" s="15" t="n"/>
    </row>
    <row r="73">
      <c r="A73" s="14" t="n">
        <v>72</v>
      </c>
      <c r="B73" s="14" t="inlineStr">
        <is>
          <t>spider-dev-00833</t>
        </is>
      </c>
      <c r="C73" s="14" t="inlineStr">
        <is>
          <t>orchestra</t>
        </is>
      </c>
      <c r="D73" s="14" t="inlineStr">
        <is>
          <t>What are the maximum and minimum share of performances whose type is not "Live final".</t>
        </is>
      </c>
      <c r="E73" s="14" t="inlineStr">
        <is>
          <t>Giá trị tối đa và tối thiểu của phần trăm các buổi biểu diễn có loại không phải 'Live final' là bao nhiêu?</t>
        </is>
      </c>
      <c r="F73" s="14" t="inlineStr">
        <is>
          <t>SELECT max(SHARE) ,  min(SHARE) FROM performance WHERE TYPE != "Live final"</t>
        </is>
      </c>
      <c r="G73" s="15" t="n"/>
      <c r="H73" s="15" t="n"/>
      <c r="I73" s="15" t="n"/>
      <c r="J73" s="15" t="n"/>
      <c r="K73" s="15" t="n"/>
      <c r="L73" s="15" t="n"/>
    </row>
    <row r="74">
      <c r="A74" s="14" t="n">
        <v>73</v>
      </c>
      <c r="B74" s="14" t="inlineStr">
        <is>
          <t>spider-dev-00837</t>
        </is>
      </c>
      <c r="C74" s="14" t="inlineStr">
        <is>
          <t>orchestra</t>
        </is>
      </c>
      <c r="D74" s="14" t="inlineStr">
        <is>
          <t>List names of conductors in descending order of years of work.</t>
        </is>
      </c>
      <c r="E74" s="14" t="inlineStr">
        <is>
          <t>Liệt kê tên các nhạc trưởng theo thứ tự giảm dần của số năm làm việc.</t>
        </is>
      </c>
      <c r="F74" s="14" t="inlineStr">
        <is>
          <t>SELECT Name FROM conductor ORDER BY Year_of_Work DESC</t>
        </is>
      </c>
      <c r="G74" s="15" t="n"/>
      <c r="H74" s="15" t="n"/>
      <c r="I74" s="15" t="n"/>
      <c r="J74" s="15" t="n"/>
      <c r="K74" s="15" t="n"/>
      <c r="L74" s="15" t="n"/>
    </row>
    <row r="75">
      <c r="A75" s="14" t="n">
        <v>74</v>
      </c>
      <c r="B75" s="14" t="inlineStr">
        <is>
          <t>spider-dev-00853</t>
        </is>
      </c>
      <c r="C75" s="14" t="inlineStr">
        <is>
          <t>orchestra</t>
        </is>
      </c>
      <c r="D75" s="14" t="inlineStr">
        <is>
          <t>List the record company shared by the most number of orchestras.</t>
        </is>
      </c>
      <c r="E75" s="14" t="inlineStr">
        <is>
          <t>Liệt kê công ty ghi âm được nhiều nhất các orchestra chia sẻ.</t>
        </is>
      </c>
      <c r="F75" s="14" t="inlineStr">
        <is>
          <t>SELECT Record_Company FROM orchestra GROUP BY Record_Company ORDER BY COUNT(*) DESC LIMIT 1</t>
        </is>
      </c>
      <c r="G75" s="15" t="n"/>
      <c r="H75" s="15" t="n"/>
      <c r="I75" s="15" t="n"/>
      <c r="J75" s="15" t="n"/>
      <c r="K75" s="15" t="n"/>
      <c r="L75" s="15" t="n"/>
    </row>
    <row r="76">
      <c r="A76" s="14" t="n">
        <v>75</v>
      </c>
      <c r="B76" s="14" t="inlineStr">
        <is>
          <t>spider-dev-00855</t>
        </is>
      </c>
      <c r="C76" s="14" t="inlineStr">
        <is>
          <t>orchestra</t>
        </is>
      </c>
      <c r="D76" s="14" t="inlineStr">
        <is>
          <t>List the names of orchestras that have no performance.</t>
        </is>
      </c>
      <c r="E76" s="14" t="inlineStr">
        <is>
          <t>Liệt kê tên các orchestra không có performance.</t>
        </is>
      </c>
      <c r="F76" s="14" t="inlineStr">
        <is>
          <t>SELECT Orchestra FROM orchestra WHERE Orchestra_ID NOT IN (SELECT Orchestra_ID FROM performance)</t>
        </is>
      </c>
      <c r="G76" s="15" t="n"/>
      <c r="H76" s="15" t="n"/>
      <c r="I76" s="15" t="n"/>
      <c r="J76" s="15" t="n"/>
      <c r="K76" s="15" t="n"/>
      <c r="L76" s="15" t="n"/>
    </row>
    <row r="77">
      <c r="A77" s="14" t="n">
        <v>76</v>
      </c>
      <c r="B77" s="14" t="inlineStr">
        <is>
          <t>spider-dev-00858</t>
        </is>
      </c>
      <c r="C77" s="14" t="inlineStr">
        <is>
          <t>orchestra</t>
        </is>
      </c>
      <c r="D77" s="14" t="inlineStr">
        <is>
          <t>What are the record companies that are used by both orchestras founded before 2003 and those founded after 2003?</t>
        </is>
      </c>
      <c r="E77" s="14" t="inlineStr">
        <is>
          <t>Những công ty ghi âm nào được cả các orchestra được thành lập trước năm 2003 và những orchestra được thành lập sau năm 2003 sử dụng?</t>
        </is>
      </c>
      <c r="F77" s="14" t="inlineStr">
        <is>
          <t>SELECT Record_Company FROM orchestra WHERE Year_of_Founded  &lt;  2003 INTERSECT SELECT Record_Company FROM orchestra WHERE Year_of_Founded  &gt;  2003</t>
        </is>
      </c>
      <c r="G77" s="15" t="n"/>
      <c r="H77" s="15" t="n"/>
      <c r="I77" s="15" t="n"/>
      <c r="J77" s="15" t="n"/>
      <c r="K77" s="15" t="n"/>
      <c r="L77" s="15" t="n"/>
    </row>
    <row r="78">
      <c r="A78" s="14" t="n">
        <v>77</v>
      </c>
      <c r="B78" s="14" t="inlineStr">
        <is>
          <t>spider-dev-00863</t>
        </is>
      </c>
      <c r="C78" s="14" t="inlineStr">
        <is>
          <t>network_1</t>
        </is>
      </c>
      <c r="D78" s="14" t="inlineStr">
        <is>
          <t>How many high schoolers are there?</t>
        </is>
      </c>
      <c r="E78" s="14" t="inlineStr">
        <is>
          <t>Có bao nhiêu học sinh trung học?</t>
        </is>
      </c>
      <c r="F78" s="14" t="inlineStr">
        <is>
          <t>SELECT count(*) FROM Highschooler</t>
        </is>
      </c>
      <c r="G78" s="15" t="n"/>
      <c r="H78" s="15" t="n"/>
      <c r="I78" s="15" t="n"/>
      <c r="J78" s="15" t="n"/>
      <c r="K78" s="15" t="n"/>
      <c r="L78" s="15" t="n"/>
    </row>
    <row r="79">
      <c r="A79" s="14" t="n">
        <v>78</v>
      </c>
      <c r="B79" s="14" t="inlineStr">
        <is>
          <t>spider-dev-00867</t>
        </is>
      </c>
      <c r="C79" s="14" t="inlineStr">
        <is>
          <t>network_1</t>
        </is>
      </c>
      <c r="D79" s="14" t="inlineStr">
        <is>
          <t>Show all the grades of the high schoolers.</t>
        </is>
      </c>
      <c r="E79" s="14" t="inlineStr">
        <is>
          <t>Hiển thị tất cả các lớp của học sinh trung học.</t>
        </is>
      </c>
      <c r="F79" s="14" t="inlineStr">
        <is>
          <t>SELECT grade FROM Highschooler</t>
        </is>
      </c>
      <c r="G79" s="15" t="n"/>
      <c r="H79" s="15" t="n"/>
      <c r="I79" s="15" t="n"/>
      <c r="J79" s="15" t="n"/>
      <c r="K79" s="15" t="n"/>
      <c r="L79" s="15" t="n"/>
    </row>
    <row r="80">
      <c r="A80" s="14" t="n">
        <v>79</v>
      </c>
      <c r="B80" s="14" t="inlineStr">
        <is>
          <t>spider-dev-00892</t>
        </is>
      </c>
      <c r="C80" s="14" t="inlineStr">
        <is>
          <t>network_1</t>
        </is>
      </c>
      <c r="D80" s="14" t="inlineStr">
        <is>
          <t>Return the names of friends of the high school student Kyle.</t>
        </is>
      </c>
      <c r="E80" s="14" t="inlineStr">
        <is>
          <t>Trả về tên của các bạn của học sinh cấp cao Kyle.</t>
        </is>
      </c>
      <c r="F80" s="14" t="inlineStr">
        <is>
          <t>SELECT T3.name FROM Friend AS T1 JOIN Highschooler AS T2 ON T1.student_id  =  T2.id JOIN Highschooler AS T3 ON T1.friend_id  =  T3.id WHERE T2.name  =  "Kyle"</t>
        </is>
      </c>
      <c r="G80" s="15" t="n"/>
      <c r="H80" s="15" t="n"/>
      <c r="I80" s="15" t="n"/>
      <c r="J80" s="15" t="n"/>
      <c r="K80" s="15" t="n"/>
      <c r="L80" s="15" t="n"/>
    </row>
    <row r="81">
      <c r="A81" s="14" t="n">
        <v>80</v>
      </c>
      <c r="B81" s="14" t="inlineStr">
        <is>
          <t>spider-dev-00907</t>
        </is>
      </c>
      <c r="C81" s="14" t="inlineStr">
        <is>
          <t>network_1</t>
        </is>
      </c>
      <c r="D81" s="14" t="inlineStr">
        <is>
          <t>What is the name of the high schooler who has the greatest number of likes?</t>
        </is>
      </c>
      <c r="E81" s="14" t="inlineStr">
        <is>
          <t>Tên của học sinh cao中的学校者，谁获得的点赞最多？</t>
        </is>
      </c>
      <c r="F81" s="14" t="inlineStr">
        <is>
          <t>SELECT T2.name FROM Likes AS T1 JOIN Highschooler AS T2 ON T1.student_id  =  T2.id GROUP BY T1.student_id ORDER BY count(*) DESC LIMIT 1</t>
        </is>
      </c>
      <c r="G81" s="15" t="n"/>
      <c r="H81" s="15" t="n"/>
      <c r="I81" s="15" t="n"/>
      <c r="J81" s="15" t="n"/>
      <c r="K81" s="15" t="n"/>
      <c r="L81" s="15" t="n"/>
    </row>
    <row r="82">
      <c r="A82" s="14" t="n">
        <v>81</v>
      </c>
      <c r="B82" s="14" t="inlineStr">
        <is>
          <t>spider-dev-00919</t>
        </is>
      </c>
      <c r="C82" s="14" t="inlineStr">
        <is>
          <t>dog_kennels</t>
        </is>
      </c>
      <c r="D82" s="14" t="inlineStr">
        <is>
          <t>Which states have both owners and professionals living there?</t>
        </is>
      </c>
      <c r="E82" s="14" t="inlineStr">
        <is>
          <t>Những bang nào có cả chủ chó và chuyên gia sống ở đó?</t>
        </is>
      </c>
      <c r="F82" s="14" t="inlineStr">
        <is>
          <t>SELECT state FROM Owners INTERSECT SELECT state FROM Professionals</t>
        </is>
      </c>
      <c r="G82" s="15" t="n"/>
      <c r="H82" s="15" t="n"/>
      <c r="I82" s="15" t="n"/>
      <c r="J82" s="15" t="n"/>
      <c r="K82" s="15" t="n"/>
      <c r="L82" s="15" t="n"/>
    </row>
    <row r="83">
      <c r="A83" s="14" t="n">
        <v>82</v>
      </c>
      <c r="B83" s="14" t="inlineStr">
        <is>
          <t>spider-dev-00920</t>
        </is>
      </c>
      <c r="C83" s="14" t="inlineStr">
        <is>
          <t>dog_kennels</t>
        </is>
      </c>
      <c r="D83" s="14" t="inlineStr">
        <is>
          <t>Find the states where both owners and professionals live.</t>
        </is>
      </c>
      <c r="E83" s="14" t="inlineStr">
        <is>
          <t>Tìm các bang nơi cả chủ (owners) và chuyên gia (professionals) sống.</t>
        </is>
      </c>
      <c r="F83" s="14" t="inlineStr">
        <is>
          <t>SELECT state FROM Owners INTERSECT SELECT state FROM Professionals</t>
        </is>
      </c>
      <c r="G83" s="15" t="n"/>
      <c r="H83" s="15" t="n"/>
      <c r="I83" s="15" t="n"/>
      <c r="J83" s="15" t="n"/>
      <c r="K83" s="15" t="n"/>
      <c r="L83" s="15" t="n"/>
    </row>
    <row r="84">
      <c r="A84" s="14" t="n">
        <v>83</v>
      </c>
      <c r="B84" s="14" t="inlineStr">
        <is>
          <t>spider-dev-00923</t>
        </is>
      </c>
      <c r="C84" s="14" t="inlineStr">
        <is>
          <t>dog_kennels</t>
        </is>
      </c>
      <c r="D84" s="14" t="inlineStr">
        <is>
          <t>Which professionals live in the state of Indiana or have done treatment on more than 2 treatments? List his or her id, last name and cell phone.</t>
        </is>
      </c>
      <c r="E84" s="14" t="inlineStr">
        <is>
          <t>Những chuyên gia nào sống ở tiểu bang Indiana hoặc đã thực hiện nhiều hơn 2 lần điều trị? Hãy liệt kê mã của họ, họ và số điện thoại di động.</t>
        </is>
      </c>
      <c r="F84" s="14" t="inlineStr">
        <is>
          <t>SELECT professional_id ,  last_name ,  cell_number FROM Professionals WHERE state  =  'Indiana' UNION SELECT T1.professional_id ,  T1.last_name ,  T1.cell_number FROM Professionals AS T1 JOIN Treatments AS T2 ON T1.professional_id  =  T2.professional_id GROUP BY T1.professional_id HAVING count(*)  &gt;  2</t>
        </is>
      </c>
      <c r="G84" s="15" t="n"/>
      <c r="H84" s="15" t="n"/>
      <c r="I84" s="15" t="n"/>
      <c r="J84" s="15" t="n"/>
      <c r="K84" s="15" t="n"/>
      <c r="L84" s="15" t="n"/>
    </row>
    <row r="85">
      <c r="A85" s="14" t="n">
        <v>84</v>
      </c>
      <c r="B85" s="14" t="inlineStr">
        <is>
          <t>spider-dev-00925</t>
        </is>
      </c>
      <c r="C85" s="14" t="inlineStr">
        <is>
          <t>dog_kennels</t>
        </is>
      </c>
      <c r="D85" s="14" t="inlineStr">
        <is>
          <t>Which dogs have not cost their owner more than 1000 for treatment ? List the dog names .</t>
        </is>
      </c>
      <c r="E85" s="14" t="inlineStr">
        <is>
          <t>Những con chó nào chưa từng khiến chủ của chúng phải chi trả hơn 1000 cho việc điều trị? Hãy liệt kê tên các con chó.</t>
        </is>
      </c>
      <c r="F85" s="14" t="inlineStr">
        <is>
          <t>select name from dogs where dog_id not in ( select dog_id from treatments group by dog_id having sum(cost_of_treatment)  &gt;  1000 )</t>
        </is>
      </c>
      <c r="G85" s="15" t="n"/>
      <c r="H85" s="15" t="n"/>
      <c r="I85" s="15" t="n"/>
      <c r="J85" s="15" t="n"/>
      <c r="K85" s="15" t="n"/>
      <c r="L85" s="15" t="n"/>
    </row>
    <row r="86">
      <c r="A86" s="14" t="n">
        <v>85</v>
      </c>
      <c r="B86" s="14" t="inlineStr">
        <is>
          <t>spider-dev-00926</t>
        </is>
      </c>
      <c r="C86" s="14" t="inlineStr">
        <is>
          <t>dog_kennels</t>
        </is>
      </c>
      <c r="D86" s="14" t="inlineStr">
        <is>
          <t>What are the names of the dogs for which the owner has not spend more than 1000 for treatment ?</t>
        </is>
      </c>
      <c r="E86" s="14" t="inlineStr">
        <is>
          <t>Tên của những con chó mà chủ không đã chi trả nhiều hơn 1000 cho việc điều trị là gì?</t>
        </is>
      </c>
      <c r="F86" s="14" t="inlineStr">
        <is>
          <t>select name from dogs where dog_id not in ( select dog_id from treatments group by dog_id having sum(cost_of_treatment)  &gt;  1000 )</t>
        </is>
      </c>
      <c r="G86" s="15" t="n"/>
      <c r="H86" s="15" t="n"/>
      <c r="I86" s="15" t="n"/>
      <c r="J86" s="15" t="n"/>
      <c r="K86" s="15" t="n"/>
      <c r="L86" s="15" t="n"/>
    </row>
    <row r="87">
      <c r="A87" s="14" t="n">
        <v>86</v>
      </c>
      <c r="B87" s="14" t="inlineStr">
        <is>
          <t>spider-dev-00931</t>
        </is>
      </c>
      <c r="C87" s="14" t="inlineStr">
        <is>
          <t>dog_kennels</t>
        </is>
      </c>
      <c r="D87" s="14" t="inlineStr">
        <is>
          <t>Which owner owns the most dogs? List the owner id, first name and last name.</t>
        </is>
      </c>
      <c r="E87" s="14" t="inlineStr">
        <is>
          <t>Người sở hữu nào có nhiều chó nhất? Hãy liệt kê mã người sở hữu, tên và họ.</t>
        </is>
      </c>
      <c r="F87" s="14" t="inlineStr">
        <is>
          <t>SELECT T1.owner_id ,  T2.first_name ,  T2.last_name FROM Dogs AS T1 JOIN Owners AS T2 ON T1.owner_id  =  T2.owner_id GROUP BY T1.owner_id ORDER BY count(*) DESC LIMIT 1</t>
        </is>
      </c>
      <c r="G87" s="15" t="n"/>
      <c r="H87" s="15" t="n"/>
      <c r="I87" s="15" t="n"/>
      <c r="J87" s="15" t="n"/>
      <c r="K87" s="15" t="n"/>
      <c r="L87" s="15" t="n"/>
    </row>
    <row r="88">
      <c r="A88" s="14" t="n">
        <v>87</v>
      </c>
      <c r="B88" s="14" t="inlineStr">
        <is>
          <t>spider-dev-00933</t>
        </is>
      </c>
      <c r="C88" s="14" t="inlineStr">
        <is>
          <t>dog_kennels</t>
        </is>
      </c>
      <c r="D88" s="14" t="inlineStr">
        <is>
          <t>Which professionals have done at least two treatments? List the professional's id, role, and first name.</t>
        </is>
      </c>
      <c r="E88" s="14" t="inlineStr">
        <is>
          <t>Những chuyên gia nào đã thực hiện ít nhất hai lần điều trị? Hãy liệt kê mã chuyên gia, vai trò và tên đầu tiên.</t>
        </is>
      </c>
      <c r="F88" s="14" t="inlineStr">
        <is>
          <t>SELECT T1.professional_id ,  T1.role_code ,  T1.first_name FROM Professionals AS T1 JOIN Treatments AS T2 ON T1.professional_id  =  T2.professional_id GROUP BY T1.professional_id HAVING count(*)  &gt;=  2</t>
        </is>
      </c>
      <c r="G88" s="15" t="n"/>
      <c r="H88" s="15" t="n"/>
      <c r="I88" s="15" t="n"/>
      <c r="J88" s="15" t="n"/>
      <c r="K88" s="15" t="n"/>
      <c r="L88" s="15" t="n"/>
    </row>
    <row r="89">
      <c r="A89" s="14" t="n">
        <v>88</v>
      </c>
      <c r="B89" s="14" t="inlineStr">
        <is>
          <t>spider-dev-00958</t>
        </is>
      </c>
      <c r="C89" s="14" t="inlineStr">
        <is>
          <t>dog_kennels</t>
        </is>
      </c>
      <c r="D89" s="14" t="inlineStr">
        <is>
          <t>Find the first names of owners living in Virginia and the names of dogs they own.</t>
        </is>
      </c>
      <c r="E89" s="14" t="inlineStr">
        <is>
          <t>Tìm tên đầu tiên của các chủ sống ở Virginia và tên của các con chó mà họ nuôi.</t>
        </is>
      </c>
      <c r="F89" s="14" t="inlineStr">
        <is>
          <t>SELECT T1.first_name ,  T2.name FROM Owners AS T1 JOIN Dogs AS T2 ON T1.owner_id  =  T2.owner_id WHERE T1.state  =  'Virginia'</t>
        </is>
      </c>
      <c r="G89" s="15" t="n"/>
      <c r="H89" s="15" t="n"/>
      <c r="I89" s="15" t="n"/>
      <c r="J89" s="15" t="n"/>
      <c r="K89" s="15" t="n"/>
      <c r="L89" s="15" t="n"/>
    </row>
    <row r="90">
      <c r="A90" s="14" t="n">
        <v>89</v>
      </c>
      <c r="B90" s="14" t="inlineStr">
        <is>
          <t>spider-dev-00961</t>
        </is>
      </c>
      <c r="C90" s="14" t="inlineStr">
        <is>
          <t>dog_kennels</t>
        </is>
      </c>
      <c r="D90" s="14" t="inlineStr">
        <is>
          <t>List the last name of the owner owning the youngest dog.</t>
        </is>
      </c>
      <c r="E90" s="14" t="inlineStr">
        <is>
          <t>Liệt kê họ của chủ sở hữu có chó nhỏ tuổi nhất.</t>
        </is>
      </c>
      <c r="F90" s="14" t="inlineStr">
        <is>
          <t>SELECT T1.last_name FROM Owners AS T1 JOIN Dogs AS T2 ON T1.owner_id  =  T2.owner_id WHERE T2.age  =  ( SELECT max(age) FROM Dogs )</t>
        </is>
      </c>
      <c r="G90" s="15" t="n"/>
      <c r="H90" s="15" t="n"/>
      <c r="I90" s="15" t="n"/>
      <c r="J90" s="15" t="n"/>
      <c r="K90" s="15" t="n"/>
      <c r="L90" s="15" t="n"/>
    </row>
    <row r="91">
      <c r="A91" s="14" t="n">
        <v>90</v>
      </c>
      <c r="B91" s="14" t="inlineStr">
        <is>
          <t>spider-dev-00963</t>
        </is>
      </c>
      <c r="C91" s="14" t="inlineStr">
        <is>
          <t>dog_kennels</t>
        </is>
      </c>
      <c r="D91" s="14" t="inlineStr">
        <is>
          <t>List the emails of the professionals who live in the state of Hawaii or the state of Wisconsin.</t>
        </is>
      </c>
      <c r="E91" s="14" t="inlineStr">
        <is>
          <t>Liệt kê địa chỉ email của các chuyên gia sống ở tiểu bang Hawaii hoặc tiểu bang Wisconsin.</t>
        </is>
      </c>
      <c r="F91" s="14" t="inlineStr">
        <is>
          <t>SELECT email_address FROM Professionals WHERE state  =  'Hawaii' OR state  =  'Wisconsin'</t>
        </is>
      </c>
      <c r="G91" s="15" t="n"/>
      <c r="H91" s="15" t="n"/>
      <c r="I91" s="15" t="n"/>
      <c r="J91" s="15" t="n"/>
      <c r="K91" s="15" t="n"/>
      <c r="L91" s="15" t="n"/>
    </row>
    <row r="92">
      <c r="A92" s="14" t="n">
        <v>91</v>
      </c>
      <c r="B92" s="14" t="inlineStr">
        <is>
          <t>spider-dev-00965</t>
        </is>
      </c>
      <c r="C92" s="14" t="inlineStr">
        <is>
          <t>dog_kennels</t>
        </is>
      </c>
      <c r="D92" s="14" t="inlineStr">
        <is>
          <t>What are the arriving date and the departing date of all the dogs?</t>
        </is>
      </c>
      <c r="E92" s="14" t="inlineStr">
        <is>
          <t>Ngày đến và ngày rời đi của tất cả các chó?</t>
        </is>
      </c>
      <c r="F92" s="14" t="inlineStr">
        <is>
          <t>SELECT date_arrived ,  date_departed FROM Dogs</t>
        </is>
      </c>
      <c r="G92" s="15" t="n"/>
      <c r="H92" s="15" t="n"/>
      <c r="I92" s="15" t="n"/>
      <c r="J92" s="15" t="n"/>
      <c r="K92" s="15" t="n"/>
      <c r="L92" s="15" t="n"/>
    </row>
    <row r="93">
      <c r="A93" s="14" t="n">
        <v>92</v>
      </c>
      <c r="B93" s="14" t="inlineStr">
        <is>
          <t>spider-dev-00969</t>
        </is>
      </c>
      <c r="C93" s="14" t="inlineStr">
        <is>
          <t>dog_kennels</t>
        </is>
      </c>
      <c r="D93" s="14" t="inlineStr">
        <is>
          <t>How many professionals have performed any treatment to dogs?</t>
        </is>
      </c>
      <c r="E93" s="14" t="inlineStr">
        <is>
          <t>Có bao nhiêu chuyên gia đã thực hiện bất kỳ treatment nào cho chó?</t>
        </is>
      </c>
      <c r="F93" s="14" t="inlineStr">
        <is>
          <t>SELECT count(DISTINCT professional_id) FROM Treatments</t>
        </is>
      </c>
      <c r="G93" s="15" t="n"/>
      <c r="H93" s="15" t="n"/>
      <c r="I93" s="15" t="n"/>
      <c r="J93" s="15" t="n"/>
      <c r="K93" s="15" t="n"/>
      <c r="L93" s="15" t="n"/>
    </row>
    <row r="94">
      <c r="A94" s="14" t="n">
        <v>93</v>
      </c>
      <c r="B94" s="14" t="inlineStr">
        <is>
          <t>spider-dev-00974</t>
        </is>
      </c>
      <c r="C94" s="14" t="inlineStr">
        <is>
          <t>dog_kennels</t>
        </is>
      </c>
      <c r="D94" s="14" t="inlineStr">
        <is>
          <t>Return the first name, last name and email of the owners living in a state whose name contains the substring 'North'.</t>
        </is>
      </c>
      <c r="E94" s="14" t="inlineStr">
        <is>
          <t>Trả về tên, họ và địa chỉ email của các chủ chó sống trong một bang có tên chứa chuỗi con 'North'.</t>
        </is>
      </c>
      <c r="F94" s="14" t="inlineStr">
        <is>
          <t>SELECT first_name ,  last_name ,  email_address FROM Owners WHERE state LIKE '%North%'</t>
        </is>
      </c>
      <c r="G94" s="15" t="n"/>
      <c r="H94" s="15" t="n"/>
      <c r="I94" s="15" t="n"/>
      <c r="J94" s="15" t="n"/>
      <c r="K94" s="15" t="n"/>
      <c r="L94" s="15" t="n"/>
    </row>
    <row r="95">
      <c r="A95" s="14" t="n">
        <v>94</v>
      </c>
      <c r="B95" s="14" t="inlineStr">
        <is>
          <t>spider-dev-00978</t>
        </is>
      </c>
      <c r="C95" s="14" t="inlineStr">
        <is>
          <t>dog_kennels</t>
        </is>
      </c>
      <c r="D95" s="14" t="inlineStr">
        <is>
          <t>Show me the cost of the most recently performed treatment.</t>
        </is>
      </c>
      <c r="E95" s="14" t="inlineStr">
        <is>
          <t>Hiển thị chi phí của lần điều trị gần đây nhất được thực hiện.</t>
        </is>
      </c>
      <c r="F95" s="14" t="inlineStr">
        <is>
          <t>SELECT cost_of_treatment FROM Treatments ORDER BY date_of_treatment DESC LIMIT 1</t>
        </is>
      </c>
      <c r="G95" s="15" t="n"/>
      <c r="H95" s="15" t="n"/>
      <c r="I95" s="15" t="n"/>
      <c r="J95" s="15" t="n"/>
      <c r="K95" s="15" t="n"/>
      <c r="L95" s="15" t="n"/>
    </row>
    <row r="96">
      <c r="A96" s="14" t="n">
        <v>95</v>
      </c>
      <c r="B96" s="14" t="inlineStr">
        <is>
          <t>spider-dev-00980</t>
        </is>
      </c>
      <c r="C96" s="14" t="inlineStr">
        <is>
          <t>dog_kennels</t>
        </is>
      </c>
      <c r="D96" s="14" t="inlineStr">
        <is>
          <t>Tell me the number of dogs that have not received any treatment .</t>
        </is>
      </c>
      <c r="E96" s="14" t="inlineStr">
        <is>
          <t>Hãy cho tôi biết số lượng các con chó chưa từng được điều trị.</t>
        </is>
      </c>
      <c r="F96" s="14" t="inlineStr">
        <is>
          <t>select count(*) from dogs where dog_id not in ( select dog_id from treatments )</t>
        </is>
      </c>
      <c r="G96" s="15" t="n"/>
      <c r="H96" s="15" t="n"/>
      <c r="I96" s="15" t="n"/>
      <c r="J96" s="15" t="n"/>
      <c r="K96" s="15" t="n"/>
      <c r="L96" s="15" t="n"/>
    </row>
    <row r="97">
      <c r="A97" s="14" t="n">
        <v>96</v>
      </c>
      <c r="B97" s="14" t="inlineStr">
        <is>
          <t>spider-dev-00984</t>
        </is>
      </c>
      <c r="C97" s="14" t="inlineStr">
        <is>
          <t>dog_kennels</t>
        </is>
      </c>
      <c r="D97" s="14" t="inlineStr">
        <is>
          <t>Find the number of professionals who have not treated any dogs.</t>
        </is>
      </c>
      <c r="E97" s="14" t="inlineStr">
        <is>
          <t>Tìm số lượng các chuyên gia chưa từng điều trị cho bất kỳ con chó nào.</t>
        </is>
      </c>
      <c r="F97" s="14" t="inlineStr">
        <is>
          <t>SELECT count(*) FROM Professionals WHERE professional_id NOT IN ( SELECT professional_id FROM Treatments )</t>
        </is>
      </c>
      <c r="G97" s="15" t="n"/>
      <c r="H97" s="15" t="n"/>
      <c r="I97" s="15" t="n"/>
      <c r="J97" s="15" t="n"/>
      <c r="K97" s="15" t="n"/>
      <c r="L97" s="15" t="n"/>
    </row>
    <row r="98">
      <c r="A98" s="14" t="n">
        <v>97</v>
      </c>
      <c r="B98" s="14" t="inlineStr">
        <is>
          <t>spider-dev-00992</t>
        </is>
      </c>
      <c r="C98" s="14" t="inlineStr">
        <is>
          <t>dog_kennels</t>
        </is>
      </c>
      <c r="D98" s="14" t="inlineStr">
        <is>
          <t>List each charge type and its amount.</t>
        </is>
      </c>
      <c r="E98" s="14" t="inlineStr">
        <is>
          <t>Liệt kê từng loại phí và số tiền tương ứng.</t>
        </is>
      </c>
      <c r="F98" s="14" t="inlineStr">
        <is>
          <t>SELECT charge_type ,  charge_amount FROM Charges</t>
        </is>
      </c>
      <c r="G98" s="15" t="n"/>
      <c r="H98" s="15" t="n"/>
      <c r="I98" s="15" t="n"/>
      <c r="J98" s="15" t="n"/>
      <c r="K98" s="15" t="n"/>
      <c r="L98" s="15" t="n"/>
    </row>
    <row r="99">
      <c r="A99" s="14" t="n">
        <v>98</v>
      </c>
      <c r="B99" s="14" t="inlineStr">
        <is>
          <t>spider-dev-00996</t>
        </is>
      </c>
      <c r="C99" s="14" t="inlineStr">
        <is>
          <t>dog_kennels</t>
        </is>
      </c>
      <c r="D99" s="14" t="inlineStr">
        <is>
          <t>What are the email, cell phone and home phone of each professional?</t>
        </is>
      </c>
      <c r="E99" s="14" t="inlineStr">
        <is>
          <t>Địa chỉ email, số điện thoại di động và số điện thoại nhà của mỗi chuyên nghiệp là gì?</t>
        </is>
      </c>
      <c r="F99" s="14" t="inlineStr">
        <is>
          <t>SELECT email_address ,  cell_number ,  home_phone FROM professionals</t>
        </is>
      </c>
      <c r="G99" s="15" t="n"/>
      <c r="H99" s="15" t="n"/>
      <c r="I99" s="15" t="n"/>
      <c r="J99" s="15" t="n"/>
      <c r="K99" s="15" t="n"/>
      <c r="L99" s="15" t="n"/>
    </row>
    <row r="100">
      <c r="A100" s="14" t="n">
        <v>99</v>
      </c>
      <c r="B100" s="14" t="inlineStr">
        <is>
          <t>spider-dev-01020</t>
        </is>
      </c>
      <c r="C100" s="14" t="inlineStr">
        <is>
          <t>singer</t>
        </is>
      </c>
      <c r="D100" s="14" t="inlineStr">
        <is>
          <t>What are the song titles and singer names?</t>
        </is>
      </c>
      <c r="E100" s="14" t="inlineStr">
        <is>
          <t>Các tiêu đề bài hát và tên ca sĩ là gì?</t>
        </is>
      </c>
      <c r="F100" s="14" t="inlineStr">
        <is>
          <t>SELECT T2.Title ,  T1.Name FROM singer AS T1 JOIN song AS T2 ON T1.Singer_ID  =  T2.Singer_ID</t>
        </is>
      </c>
      <c r="G100" s="15" t="n"/>
      <c r="H100" s="15" t="n"/>
      <c r="I100" s="15" t="n"/>
      <c r="J100" s="15" t="n"/>
      <c r="K100" s="15" t="n"/>
      <c r="L100" s="15" t="n"/>
    </row>
    <row r="101">
      <c r="A101" s="14" t="n">
        <v>100</v>
      </c>
      <c r="B101" s="14" t="inlineStr">
        <is>
          <t>spider-dev-01022</t>
        </is>
      </c>
      <c r="C101" s="14" t="inlineStr">
        <is>
          <t>singer</t>
        </is>
      </c>
      <c r="D101" s="14" t="inlineStr">
        <is>
          <t>what are the different names of the singers that have sales more than 300000?</t>
        </is>
      </c>
      <c r="E101" s="14" t="inlineStr">
        <is>
          <t>Những tên khác nhau của các ca sĩ có doanh số lớn hơn 300000?</t>
        </is>
      </c>
      <c r="F101" s="14" t="inlineStr">
        <is>
          <t>SELECT DISTINCT T1.Name FROM singer AS T1 JOIN song AS T2 ON T1.Singer_ID  =  T2.Singer_ID WHERE T2.Sales  &gt;  300000</t>
        </is>
      </c>
      <c r="G101" s="15" t="n"/>
      <c r="H101" s="15" t="n"/>
      <c r="I101" s="15" t="n"/>
      <c r="J101" s="15" t="n"/>
      <c r="K101" s="15" t="n"/>
      <c r="L101" s="15" t="n"/>
    </row>
  </sheetData>
  <dataValidations count="4">
    <dataValidation sqref="G2:G101" showDropDown="0" showInputMessage="0" showErrorMessage="1" allowBlank="1" error="Chọn một giá trị trong danh sách." type="list">
      <formula1>'Danh mục'!$A$2:$A$4</formula1>
    </dataValidation>
    <dataValidation sqref="H2:H101" showDropDown="0" showInputMessage="0" showErrorMessage="1" allowBlank="1" error="Chọn một giá trị trong danh sách." type="list">
      <formula1>'Danh mục'!$A$2:$A$4</formula1>
    </dataValidation>
    <dataValidation sqref="I2:I101" showDropDown="0" showInputMessage="0" showErrorMessage="1" allowBlank="1" error="Chọn một giá trị trong danh sách." type="list">
      <formula1>'Danh mục'!$B$2:$B$3</formula1>
    </dataValidation>
    <dataValidation sqref="J2:J101" showDropDown="0" showInputMessage="0" showErrorMessage="1" allowBlank="1" error="Chọn một giá trị trong danh sách." type="list">
      <formula1>'Danh mục'!$C$2:$C$9</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18" customWidth="1" min="3" max="3"/>
    <col width="11" customWidth="1" min="4" max="4"/>
    <col width="40" customWidth="1" min="5" max="5"/>
    <col width="40" customWidth="1" min="6" max="6"/>
    <col width="35" customWidth="1" min="7" max="7"/>
    <col width="35" customWidth="1" min="8" max="8"/>
    <col width="45" customWidth="1" min="9" max="9"/>
    <col width="14" customWidth="1" min="10" max="10"/>
    <col width="12" customWidth="1" min="11" max="11"/>
    <col width="12" customWidth="1" min="12" max="12"/>
    <col width="24" customWidth="1" min="13" max="13"/>
    <col width="14" customWidth="1" min="14" max="14"/>
    <col width="40" customWidth="1" min="15" max="15"/>
    <col width="30" customWidth="1" min="16" max="16"/>
  </cols>
  <sheetData>
    <row r="1" ht="45" customHeight="1">
      <c r="A1" s="12" t="inlineStr">
        <is>
          <t>STT</t>
        </is>
      </c>
      <c r="B1" s="12" t="inlineStr">
        <is>
          <t>ID</t>
        </is>
      </c>
      <c r="C1" s="12" t="inlineStr">
        <is>
          <t>DB</t>
        </is>
      </c>
      <c r="D1" s="12" t="inlineStr">
        <is>
          <t>Độ khó</t>
        </is>
      </c>
      <c r="E1" s="12" t="inlineStr">
        <is>
          <t>Câu gốc (EN)</t>
        </is>
      </c>
      <c r="F1" s="12" t="inlineStr">
        <is>
          <t>Bản dịch (VI)</t>
        </is>
      </c>
      <c r="G1" s="12" t="inlineStr">
        <is>
          <t>Evidence gốc (EN)</t>
        </is>
      </c>
      <c r="H1" s="12" t="inlineStr">
        <is>
          <t>Evidence dịch (VI)</t>
        </is>
      </c>
      <c r="I1" s="12" t="inlineStr">
        <is>
          <t>SQL tham chiếu</t>
        </is>
      </c>
      <c r="J1" s="13" t="inlineStr">
        <is>
          <t>Độ chính xác nghĩa (1–3)</t>
        </is>
      </c>
      <c r="K1" s="13" t="inlineStr">
        <is>
          <t>Độ tự nhiên (1–3)</t>
        </is>
      </c>
      <c r="L1" s="13" t="inlineStr">
        <is>
          <t>Lỗi ảnh hưởng SQL?</t>
        </is>
      </c>
      <c r="M1" s="13" t="inlineStr">
        <is>
          <t>Loại lỗi</t>
        </is>
      </c>
      <c r="N1" s="13" t="inlineStr">
        <is>
          <t>Độ chính xác evidence (1–3)</t>
        </is>
      </c>
      <c r="O1" s="13" t="inlineStr">
        <is>
          <t>Bản dịch đề xuất</t>
        </is>
      </c>
      <c r="P1" s="13" t="inlineStr">
        <is>
          <t>Ghi chú</t>
        </is>
      </c>
    </row>
    <row r="2">
      <c r="A2" s="14" t="n">
        <v>1</v>
      </c>
      <c r="B2" s="14" t="inlineStr">
        <is>
          <t>bird-dev-00001</t>
        </is>
      </c>
      <c r="C2" s="14" t="inlineStr">
        <is>
          <t>california_schools</t>
        </is>
      </c>
      <c r="D2" s="14" t="inlineStr">
        <is>
          <t>simple</t>
        </is>
      </c>
      <c r="E2" s="14" t="inlineStr">
        <is>
          <t>What is the highest eligible free rate for K-12 students in the schools in Alameda County?</t>
        </is>
      </c>
      <c r="F2" s="14" t="inlineStr">
        <is>
          <t>Tỷ lệ miễn phí cao nhất cho học sinh K-12 ở các trường thuộc Quận Alameda là bao nhiêu?</t>
        </is>
      </c>
      <c r="G2" s="14" t="inlineStr">
        <is>
          <t>Eligible free rate for K-12 = `Free Meal Count (K-12)` / `Enrollment (K-12)`</t>
        </is>
      </c>
      <c r="H2" s="14" t="inlineStr">
        <is>
          <t>Tỷ lệ miễn phí cho K-12 = `Free Meal Count (K-12)` / `Enrollment (K-12)`</t>
        </is>
      </c>
      <c r="I2" s="14" t="inlineStr">
        <is>
          <t>SELECT `Free Meal Count (K-12)` / `Enrollment (K-12)` FROM frpm WHERE `County Name` = 'Alameda' ORDER BY (CAST(`Free Meal Count (K-12)` AS REAL) / `Enrollment (K-12)`) DESC LIMIT 1</t>
        </is>
      </c>
      <c r="J2" s="15" t="n"/>
      <c r="K2" s="15" t="n"/>
      <c r="L2" s="15" t="n"/>
      <c r="M2" s="15" t="n"/>
      <c r="N2" s="15" t="n"/>
      <c r="O2" s="15" t="n"/>
      <c r="P2" s="15" t="n"/>
    </row>
    <row r="3">
      <c r="A3" s="14" t="n">
        <v>2</v>
      </c>
      <c r="B3" s="14" t="inlineStr">
        <is>
          <t>bird-dev-00008</t>
        </is>
      </c>
      <c r="C3" s="14" t="inlineStr">
        <is>
          <t>california_schools</t>
        </is>
      </c>
      <c r="D3" s="14" t="inlineStr">
        <is>
          <t>simple</t>
        </is>
      </c>
      <c r="E3" s="14" t="inlineStr">
        <is>
          <t>What is the phone number of the school that has the highest number of test takers with an SAT score of over 1500?</t>
        </is>
      </c>
      <c r="F3" s="14" t="inlineStr">
        <is>
          <t>Số điện thoại của trường có số lượng thí sinh đạt điểm SAT trên 1500 cao nhất là gì?</t>
        </is>
      </c>
      <c r="G3" s="14" t="inlineStr"/>
      <c r="H3" s="14" t="inlineStr">
        <is>
          <t>(no evidence)</t>
        </is>
      </c>
      <c r="I3" s="14" t="inlineStr">
        <is>
          <t>SELECT T2.Phone FROM satscores AS T1 INNER JOIN schools AS T2 ON T1.cds = T2.CDSCode ORDER BY T1.NumGE1500 DESC LIMIT 1</t>
        </is>
      </c>
      <c r="J3" s="15" t="n"/>
      <c r="K3" s="15" t="n"/>
      <c r="L3" s="15" t="n"/>
      <c r="M3" s="15" t="n"/>
      <c r="N3" s="15" t="n"/>
      <c r="O3" s="15" t="n"/>
      <c r="P3" s="15" t="n"/>
    </row>
    <row r="4">
      <c r="A4" s="14" t="n">
        <v>3</v>
      </c>
      <c r="B4" s="14" t="inlineStr">
        <is>
          <t>bird-dev-00018</t>
        </is>
      </c>
      <c r="C4" s="14" t="inlineStr">
        <is>
          <t>california_schools</t>
        </is>
      </c>
      <c r="D4" s="14" t="inlineStr">
        <is>
          <t>simple</t>
        </is>
      </c>
      <c r="E4" s="14" t="inlineStr">
        <is>
          <t>Rank schools by their average score in Writing where the score is greater than 499, showing their charter numbers.</t>
        </is>
      </c>
      <c r="F4" s="14" t="inlineStr">
        <is>
          <t>Xếp hạng các trường theo điểm trung bình môn Writing, với điều kiện điểm lớn hơn 499, đồng thời cho biết số charter của chúng.</t>
        </is>
      </c>
      <c r="G4" s="14" t="inlineStr">
        <is>
          <t>Valid charter number means the number is not null</t>
        </is>
      </c>
      <c r="H4" s="14" t="inlineStr">
        <is>
          <t>Số charter hợp lệ có nghĩa là số không null</t>
        </is>
      </c>
      <c r="I4" s="14" t="inlineStr">
        <is>
          <t>SELECT CharterNum, AvgScrWrite, RANK() OVER (ORDER BY AvgScrWrite DESC) AS WritingScoreRank FROM schools AS T1  INNER JOIN satscores AS T2 ON T1.CDSCode = T2.cds WHERE T2.AvgScrWrite &gt; 499 AND CharterNum is not null</t>
        </is>
      </c>
      <c r="J4" s="15" t="n"/>
      <c r="K4" s="15" t="n"/>
      <c r="L4" s="15" t="n"/>
      <c r="M4" s="15" t="n"/>
      <c r="N4" s="15" t="n"/>
      <c r="O4" s="15" t="n"/>
      <c r="P4" s="15" t="n"/>
    </row>
    <row r="5">
      <c r="A5" s="14" t="n">
        <v>4</v>
      </c>
      <c r="B5" s="14" t="inlineStr">
        <is>
          <t>bird-dev-00048</t>
        </is>
      </c>
      <c r="C5" s="14" t="inlineStr">
        <is>
          <t>california_schools</t>
        </is>
      </c>
      <c r="D5" s="14" t="inlineStr">
        <is>
          <t>moderate</t>
        </is>
      </c>
      <c r="E5" s="14" t="inlineStr">
        <is>
          <t>What is the monthly average number of schools that opened in Alameda County under the jurisdiction of the Elementary School District in 1980?</t>
        </is>
      </c>
      <c r="F5" s="14" t="inlineStr">
        <is>
          <t>Số lượng trường mở mới trung bình mỗi tháng trong Quận Alameda thuộc quyền quản lý của Elementary School District vào năm 1980 là bao nhiêu?</t>
        </is>
      </c>
      <c r="G5" s="14" t="inlineStr">
        <is>
          <t>Elementary School District refers to DOC = 52; Monthly average number of schools that opened in 1980 = count(schools that opened in 1980) / 12</t>
        </is>
      </c>
      <c r="H5" s="14" t="inlineStr">
        <is>
          <t>Elementary School District ám chỉ DOC = 52; Số lượng trường mở mới trung bình mỗi tháng vào năm 1980 = count(schools that opened in 1980) / 12</t>
        </is>
      </c>
      <c r="I5" s="14" t="inlineStr">
        <is>
          <t>SELECT CAST(COUNT(School) AS REAL) / 12 FROM schools WHERE DOC = 52 AND County = 'Alameda' AND strftime('%Y', OpenDate) = '1980'</t>
        </is>
      </c>
      <c r="J5" s="15" t="n"/>
      <c r="K5" s="15" t="n"/>
      <c r="L5" s="15" t="n"/>
      <c r="M5" s="15" t="n"/>
      <c r="N5" s="15" t="n"/>
      <c r="O5" s="15" t="n"/>
      <c r="P5" s="15" t="n"/>
    </row>
    <row r="6">
      <c r="A6" s="14" t="n">
        <v>5</v>
      </c>
      <c r="B6" s="14" t="inlineStr">
        <is>
          <t>bird-dev-00063</t>
        </is>
      </c>
      <c r="C6" s="14" t="inlineStr">
        <is>
          <t>california_schools</t>
        </is>
      </c>
      <c r="D6" s="14" t="inlineStr">
        <is>
          <t>challenging</t>
        </is>
      </c>
      <c r="E6" s="14" t="inlineStr">
        <is>
          <t>What is the total number of non-chartered schools in the county of Los Angeles with a percent (%) of eligible free meals for grades 1 through 12 that is less than 0.18%?</t>
        </is>
      </c>
      <c r="F6" s="14" t="inlineStr">
        <is>
          <t>Tổng số trường không thuộc loại charter ở quận Los Angeles có tỷ lệ phần trăm suất ăn miễn phí cho các lớp từ 1 đến 12 thấp hơn 0.18% là bao nhiêu?</t>
        </is>
      </c>
      <c r="G6" s="14" t="inlineStr">
        <is>
          <t>non-chartered schools refer to schools whose Charter = 0; K-12 means grades 1 through 12; percent of eligible free rate for K-12 = `Free Meal Count (K-12)` * 100 / `Enrollment (K-12)`</t>
        </is>
      </c>
      <c r="H6" s="14" t="inlineStr">
        <is>
          <t>trường không thuộc loại charter tham chiếu tới các trường có Charter = 0; K-12 nghĩa là các lớp từ 1 đến 12; tỷ lệ phần trăm suất ăn miễn phí cho K-12 = `Free Meal Count (K-12)` * 100 / `Enrollment (K-12)`</t>
        </is>
      </c>
      <c r="I6" s="14" t="inlineStr">
        <is>
          <t>SELECT COUNT(T2.School) FROM frpm AS T1 INNER JOIN schools AS T2 ON T1.CDSCode = T2.CDSCode WHERE T2.County = 'Los Angeles' AND T2.Charter = 0 AND CAST(T1.`Free Meal Count (K-12)` AS REAL) * 100 / T1.`Enrollment (K-12)` &lt; 0.18</t>
        </is>
      </c>
      <c r="J6" s="15" t="n"/>
      <c r="K6" s="15" t="n"/>
      <c r="L6" s="15" t="n"/>
      <c r="M6" s="15" t="n"/>
      <c r="N6" s="15" t="n"/>
      <c r="O6" s="15" t="n"/>
      <c r="P6" s="15" t="n"/>
    </row>
    <row r="7">
      <c r="A7" s="14" t="n">
        <v>6</v>
      </c>
      <c r="B7" s="14" t="inlineStr">
        <is>
          <t>bird-dev-00072</t>
        </is>
      </c>
      <c r="C7" s="14" t="inlineStr">
        <is>
          <t>california_schools</t>
        </is>
      </c>
      <c r="D7" s="14" t="inlineStr">
        <is>
          <t>simple</t>
        </is>
      </c>
      <c r="E7" s="14" t="inlineStr">
        <is>
          <t>What is the district code for the School that does not offer a magnet program in the city of Fresno?</t>
        </is>
      </c>
      <c r="F7" s="14" t="inlineStr">
        <is>
          <t>Mã quận của trường không có chương trình magnet trong thành phố Fresno là gì?</t>
        </is>
      </c>
      <c r="G7" s="14" t="inlineStr">
        <is>
          <t>When magent is equal to 0 in the database, it means ths school doesn't offer a magnet program.</t>
        </is>
      </c>
      <c r="H7" s="14" t="inlineStr">
        <is>
          <t>Khi magent bằng 0 trong cơ sở dữ liệu, điều đó có nghĩa là trường này không cung cấp chương trình magnet.</t>
        </is>
      </c>
      <c r="I7" s="14" t="inlineStr">
        <is>
          <t>SELECT T1.`District Code` FROM frpm AS T1 INNER JOIN schools AS T2 ON T1.CDSCode = T2.CDSCode WHERE T2.City = 'Fresno' AND T2.Magnet = 0</t>
        </is>
      </c>
      <c r="J7" s="15" t="n"/>
      <c r="K7" s="15" t="n"/>
      <c r="L7" s="15" t="n"/>
      <c r="M7" s="15" t="n"/>
      <c r="N7" s="15" t="n"/>
      <c r="O7" s="15" t="n"/>
      <c r="P7" s="15" t="n"/>
    </row>
    <row r="8">
      <c r="A8" s="14" t="n">
        <v>7</v>
      </c>
      <c r="B8" s="14" t="inlineStr">
        <is>
          <t>bird-dev-00108</t>
        </is>
      </c>
      <c r="C8" s="14" t="inlineStr">
        <is>
          <t>financial</t>
        </is>
      </c>
      <c r="D8" s="14" t="inlineStr">
        <is>
          <t>simple</t>
        </is>
      </c>
      <c r="E8" s="14" t="inlineStr">
        <is>
          <t>What is the gender of the oldest client who opened his/her account in the highest average salary branch?</t>
        </is>
      </c>
      <c r="F8" s="14" t="inlineStr">
        <is>
          <t>Giới tính của khách hàng lớn tuổi nhất đã mở tài khoản tại chi nhánh có mức lương trung bình cao nhất là gì?</t>
        </is>
      </c>
      <c r="G8" s="14" t="inlineStr">
        <is>
          <t>Earlier birthdate refers to older age; A11 refers to average salary</t>
        </is>
      </c>
      <c r="H8" s="14" t="inlineStr">
        <is>
          <t>Ngày sinh sớm ám chỉ đến độ tuổi lớn hơn; A11 tham chiếu tới mức lương trung bình</t>
        </is>
      </c>
      <c r="I8" s="14" t="inlineStr">
        <is>
          <t>SELECT T2.gender FROM district AS T1 INNER JOIN client AS T2 ON T1.district_id = T2.district_id ORDER BY T1.A11 DESC, T2.birth_date ASC LIMIT 1</t>
        </is>
      </c>
      <c r="J8" s="15" t="n"/>
      <c r="K8" s="15" t="n"/>
      <c r="L8" s="15" t="n"/>
      <c r="M8" s="15" t="n"/>
      <c r="N8" s="15" t="n"/>
      <c r="O8" s="15" t="n"/>
      <c r="P8" s="15" t="n"/>
    </row>
    <row r="9">
      <c r="A9" s="14" t="n">
        <v>8</v>
      </c>
      <c r="B9" s="14" t="inlineStr">
        <is>
          <t>bird-dev-00126</t>
        </is>
      </c>
      <c r="C9" s="14" t="inlineStr">
        <is>
          <t>financial</t>
        </is>
      </c>
      <c r="D9" s="14" t="inlineStr">
        <is>
          <t>challenging</t>
        </is>
      </c>
      <c r="E9" s="14" t="inlineStr">
        <is>
          <t>For loans contracts which are still running where client are in debt, list the district of the and the state the percentage unemployment rate increment from year 1995 to 1996.</t>
        </is>
      </c>
      <c r="F9" s="14" t="inlineStr">
        <is>
          <t>Đối với các hợp đồng vay mà khách hàng đang trong tình trạng nợ, hãy liệt kê quận của họ và mức tăng tỷ lệ thất nghiệp theo phần trăm từ năm 1995 đến 1996.</t>
        </is>
      </c>
      <c r="G9" s="14" t="inlineStr">
        <is>
          <t>Unemployment increment rate in percentage = [(unemployment rate 2016 - unemployment rate 2015) / unemployment rate 2015] * 100; unemployment rate 2015 appears in the A12; unemployment rate 2016 appears in the A13; Loan contracts which are still running where client are in debt can be presented as status = 'D'</t>
        </is>
      </c>
      <c r="H9" s="14" t="inlineStr">
        <is>
          <t>Mức tăng tỷ lệ thất nghiệp theo phần trăm = [ (unemployment rate 2016 - unemployment rate 2015) / unemployment rate 2015 ] * 100; unemployment rate 2015 xuất hiện ở A12; unemployment rate 2016 xuất hiện ở A13; các hợp đồng vay đang được thực hiện và khách hàng đang trong tình trạng nợ có thể được biểu diễn như status = 'D'</t>
        </is>
      </c>
      <c r="I9" s="14" t="inlineStr">
        <is>
          <t>SELECT CAST((T3.A13 - T3.A12) AS REAL) * 100 / T3.A12 FROM loan AS T1 INNER JOIN account AS T2 ON T1.account_id = T2.account_id INNER JOIN district AS T3 ON T2.district_id = T3.district_id WHERE T1.status = 'D'</t>
        </is>
      </c>
      <c r="J9" s="15" t="n"/>
      <c r="K9" s="15" t="n"/>
      <c r="L9" s="15" t="n"/>
      <c r="M9" s="15" t="n"/>
      <c r="N9" s="15" t="n"/>
      <c r="O9" s="15" t="n"/>
      <c r="P9" s="15" t="n"/>
    </row>
    <row r="10">
      <c r="A10" s="14" t="n">
        <v>9</v>
      </c>
      <c r="B10" s="14" t="inlineStr">
        <is>
          <t>bird-dev-00143</t>
        </is>
      </c>
      <c r="C10" s="14" t="inlineStr">
        <is>
          <t>financial</t>
        </is>
      </c>
      <c r="D10" s="14" t="inlineStr">
        <is>
          <t>simple</t>
        </is>
      </c>
      <c r="E10" s="14" t="inlineStr">
        <is>
          <t>Which accounts placed orders for household payment in Pisek?</t>
        </is>
      </c>
      <c r="F10" s="14" t="inlineStr">
        <is>
          <t>Những tài khoản nào đã đặt đơn hàng cho thanh toán hộ gia đình ở Pisek?</t>
        </is>
      </c>
      <c r="G10" s="14" t="inlineStr">
        <is>
          <t>k_symbol = 'SIPO' refers to household payment</t>
        </is>
      </c>
      <c r="H10" s="14" t="inlineStr">
        <is>
          <t>k_symbol = 'SIPO' ám chỉ đến thanh toán hộ gia đình</t>
        </is>
      </c>
      <c r="I10" s="14" t="inlineStr">
        <is>
          <t>SELECT DISTINCT T2.account_id FROM trans AS T1 INNER JOIN account AS T2 ON T1.account_id = T2.account_id INNER JOIN district AS T3 ON T2.district_id = T3.district_id WHERE T1.k_symbol = 'SIPO' AND T3.A2 = 'Pisek'</t>
        </is>
      </c>
      <c r="J10" s="15" t="n"/>
      <c r="K10" s="15" t="n"/>
      <c r="L10" s="15" t="n"/>
      <c r="M10" s="15" t="n"/>
      <c r="N10" s="15" t="n"/>
      <c r="O10" s="15" t="n"/>
      <c r="P10" s="15" t="n"/>
    </row>
    <row r="11">
      <c r="A11" s="14" t="n">
        <v>10</v>
      </c>
      <c r="B11" s="14" t="inlineStr">
        <is>
          <t>bird-dev-00144</t>
        </is>
      </c>
      <c r="C11" s="14" t="inlineStr">
        <is>
          <t>financial</t>
        </is>
      </c>
      <c r="D11" s="14" t="inlineStr">
        <is>
          <t>simple</t>
        </is>
      </c>
      <c r="E11" s="14" t="inlineStr">
        <is>
          <t>What are the accounts that have gold credit cards?</t>
        </is>
      </c>
      <c r="F11" s="14" t="inlineStr">
        <is>
          <t>Những tài khoản nào có thẻ tín dụng vàng?</t>
        </is>
      </c>
      <c r="G11" s="14" t="inlineStr"/>
      <c r="H11" s="14" t="inlineStr">
        <is>
          <t>(no evidence)</t>
        </is>
      </c>
      <c r="I11" s="14" t="inlineStr">
        <is>
          <t>SELECT T2.account_id FROM disp AS T2  INNER JOIN card AS T1 ON T1.disp_id = T2.disp_id  WHERE T1.type = 'gold'</t>
        </is>
      </c>
      <c r="J11" s="15" t="n"/>
      <c r="K11" s="15" t="n"/>
      <c r="L11" s="15" t="n"/>
      <c r="M11" s="15" t="n"/>
      <c r="N11" s="15" t="n"/>
      <c r="O11" s="15" t="n"/>
      <c r="P11" s="15" t="n"/>
    </row>
    <row r="12">
      <c r="A12" s="14" t="n">
        <v>11</v>
      </c>
      <c r="B12" s="14" t="inlineStr">
        <is>
          <t>bird-dev-00149</t>
        </is>
      </c>
      <c r="C12" s="14" t="inlineStr">
        <is>
          <t>financial</t>
        </is>
      </c>
      <c r="D12" s="14" t="inlineStr">
        <is>
          <t>moderate</t>
        </is>
      </c>
      <c r="E12" s="14" t="inlineStr">
        <is>
          <t>Please list the accounts whose district is Tabor that are eligible for loans.</t>
        </is>
      </c>
      <c r="F12" s="14" t="inlineStr">
        <is>
          <t>Vui lòng liệt kê các tài khoản có quận là Tabor và đủ điều kiện cho vay.</t>
        </is>
      </c>
      <c r="G12" s="14" t="inlineStr">
        <is>
          <t>District refers to column A2; when the account type = 'OWNER', it's eligible for loans</t>
        </is>
      </c>
      <c r="H12" s="14" t="inlineStr">
        <is>
          <t>Quận tham chiếu tới cột A2; khi loại tài khoản = 'OWNER', nó đủ điều kiện cho vay</t>
        </is>
      </c>
      <c r="I12" s="14" t="inlineStr">
        <is>
          <t>SELECT T2.account_id FROM district AS T1 INNER JOIN account AS T2 ON T1.district_id = T2.district_id INNER JOIN disp AS T3 ON T2.account_id = T3.account_id WHERE T3.type = 'OWNER' AND T1.A2 = 'Tabor'</t>
        </is>
      </c>
      <c r="J12" s="15" t="n"/>
      <c r="K12" s="15" t="n"/>
      <c r="L12" s="15" t="n"/>
      <c r="M12" s="15" t="n"/>
      <c r="N12" s="15" t="n"/>
      <c r="O12" s="15" t="n"/>
      <c r="P12" s="15" t="n"/>
    </row>
    <row r="13">
      <c r="A13" s="14" t="n">
        <v>12</v>
      </c>
      <c r="B13" s="14" t="inlineStr">
        <is>
          <t>bird-dev-00159</t>
        </is>
      </c>
      <c r="C13" s="14" t="inlineStr">
        <is>
          <t>financial</t>
        </is>
      </c>
      <c r="D13" s="14" t="inlineStr">
        <is>
          <t>simple</t>
        </is>
      </c>
      <c r="E13" s="14" t="inlineStr">
        <is>
          <t>What is the district Id of the account that placed the order with the id 33333?</t>
        </is>
      </c>
      <c r="F13" s="14" t="inlineStr">
        <is>
          <t>ID quận của tài khoản đã đặt đơn hàng có id 33333 là gì?</t>
        </is>
      </c>
      <c r="G13" s="14" t="inlineStr"/>
      <c r="H13" s="14" t="inlineStr">
        <is>
          <t>(no evidence)</t>
        </is>
      </c>
      <c r="I13" s="14" t="inlineStr">
        <is>
          <t>SELECT T3.district_id FROM `order` AS T1 INNER JOIN account AS T2 ON T1.account_id = T2.account_id INNER JOIN district AS T3 ON T2.district_id = T3.district_id WHERE T1.order_id = 33333</t>
        </is>
      </c>
      <c r="J13" s="15" t="n"/>
      <c r="K13" s="15" t="n"/>
      <c r="L13" s="15" t="n"/>
      <c r="M13" s="15" t="n"/>
      <c r="N13" s="15" t="n"/>
      <c r="O13" s="15" t="n"/>
      <c r="P13" s="15" t="n"/>
    </row>
    <row r="14">
      <c r="A14" s="14" t="n">
        <v>13</v>
      </c>
      <c r="B14" s="14" t="inlineStr">
        <is>
          <t>bird-dev-00163</t>
        </is>
      </c>
      <c r="C14" s="14" t="inlineStr">
        <is>
          <t>financial</t>
        </is>
      </c>
      <c r="D14" s="14" t="inlineStr">
        <is>
          <t>simple</t>
        </is>
      </c>
      <c r="E14" s="14" t="inlineStr">
        <is>
          <t>What is the region of the client with the id 3541 from?</t>
        </is>
      </c>
      <c r="F14" s="14" t="inlineStr">
        <is>
          <t>Vùng của khách hàng có id 3541 là gì?</t>
        </is>
      </c>
      <c r="G14" s="14" t="inlineStr">
        <is>
          <t>A3 refers to region</t>
        </is>
      </c>
      <c r="H14" s="14" t="inlineStr">
        <is>
          <t>A3 tham chiếu tới region</t>
        </is>
      </c>
      <c r="I14" s="14" t="inlineStr">
        <is>
          <t>SELECT T1.A3 FROM district AS T1 INNER JOIN client AS T2 ON T1.district_id = T2.district_id WHERE T2.client_id = 3541</t>
        </is>
      </c>
      <c r="J14" s="15" t="n"/>
      <c r="K14" s="15" t="n"/>
      <c r="L14" s="15" t="n"/>
      <c r="M14" s="15" t="n"/>
      <c r="N14" s="15" t="n"/>
      <c r="O14" s="15" t="n"/>
      <c r="P14" s="15" t="n"/>
    </row>
    <row r="15">
      <c r="A15" s="14" t="n">
        <v>14</v>
      </c>
      <c r="B15" s="14" t="inlineStr">
        <is>
          <t>bird-dev-00206</t>
        </is>
      </c>
      <c r="C15" s="14" t="inlineStr">
        <is>
          <t>toxicology</t>
        </is>
      </c>
      <c r="D15" s="14" t="inlineStr">
        <is>
          <t>simple</t>
        </is>
      </c>
      <c r="E15" s="14" t="inlineStr">
        <is>
          <t>Identify by their ID the molecules in which there is carbon.</t>
        </is>
      </c>
      <c r="F15" s="14" t="inlineStr">
        <is>
          <t>Xác định các phân tử theo ID của chúng có chứa carbon.</t>
        </is>
      </c>
      <c r="G15" s="14" t="inlineStr">
        <is>
          <t>carbon refers to element = 'c';</t>
        </is>
      </c>
      <c r="H15" s="14" t="inlineStr">
        <is>
          <t>carbon ám chỉ element = 'c';</t>
        </is>
      </c>
      <c r="I15" s="14" t="inlineStr">
        <is>
          <t>SELECT T.molecule_id FROM atom AS T WHERE T.element = 'c'</t>
        </is>
      </c>
      <c r="J15" s="15" t="n"/>
      <c r="K15" s="15" t="n"/>
      <c r="L15" s="15" t="n"/>
      <c r="M15" s="15" t="n"/>
      <c r="N15" s="15" t="n"/>
      <c r="O15" s="15" t="n"/>
      <c r="P15" s="15" t="n"/>
    </row>
    <row r="16">
      <c r="A16" s="14" t="n">
        <v>15</v>
      </c>
      <c r="B16" s="14" t="inlineStr">
        <is>
          <t>bird-dev-00228</t>
        </is>
      </c>
      <c r="C16" s="14" t="inlineStr">
        <is>
          <t>toxicology</t>
        </is>
      </c>
      <c r="D16" s="14" t="inlineStr">
        <is>
          <t>simple</t>
        </is>
      </c>
      <c r="E16" s="14" t="inlineStr">
        <is>
          <t>What is the percentage of molecules that are carcinogenic? Please provide your answer as a percentage with three decimal places.</t>
        </is>
      </c>
      <c r="F16" s="14" t="inlineStr">
        <is>
          <t>Tỷ lệ phần trăm các phân tử có tính chất gây ung thư là bao nhiêu? Vui lòng cung cấp câu trả lời của bạn dưới dạng phần trăm với ba chữ số thập phân.</t>
        </is>
      </c>
      <c r="G16" s="14" t="inlineStr">
        <is>
          <t>label = '+' mean molecules are carcinogenic; percentage = DIVIDE(SUM(label = '+'), COUNT(molecule_id)) as percent</t>
        </is>
      </c>
      <c r="H16" s="14" t="inlineStr">
        <is>
          <t>label = '+' nghĩa là các phân tử có tính chất gây ung thư; phần trăm = DIVIDE(SUM(label = '+'), COUNT(molecule_id)) as percent</t>
        </is>
      </c>
      <c r="I16" s="14" t="inlineStr">
        <is>
          <t>SELECT ROUND(CAST(COUNT(CASE WHEN T.label = '+' THEN T.molecule_id ELSE NULL END) AS REAL) * 100 / COUNT(T.molecule_id),3) FROM molecule t</t>
        </is>
      </c>
      <c r="J16" s="15" t="n"/>
      <c r="K16" s="15" t="n"/>
      <c r="L16" s="15" t="n"/>
      <c r="M16" s="15" t="n"/>
      <c r="N16" s="15" t="n"/>
      <c r="O16" s="15" t="n"/>
      <c r="P16" s="15" t="n"/>
    </row>
    <row r="17">
      <c r="A17" s="14" t="n">
        <v>16</v>
      </c>
      <c r="B17" s="14" t="inlineStr">
        <is>
          <t>bird-dev-00239</t>
        </is>
      </c>
      <c r="C17" s="14" t="inlineStr">
        <is>
          <t>toxicology</t>
        </is>
      </c>
      <c r="D17" s="14" t="inlineStr">
        <is>
          <t>simple</t>
        </is>
      </c>
      <c r="E17" s="14" t="inlineStr">
        <is>
          <t>How many molecules have a triple bond type?</t>
        </is>
      </c>
      <c r="F17" s="14" t="inlineStr">
        <is>
          <t>Có bao nhiêu phân tử có kiểu liên kết ba?</t>
        </is>
      </c>
      <c r="G17" s="14" t="inlineStr">
        <is>
          <t>triple bond refers to bond_type = '#';</t>
        </is>
      </c>
      <c r="H17" s="14" t="inlineStr">
        <is>
          <t>liên kết ba tham chiếu tới bond_type = '#';</t>
        </is>
      </c>
      <c r="I17" s="14" t="inlineStr">
        <is>
          <t>SELECT COUNT(DISTINCT T.molecule_id) FROM bond AS T WHERE T.bond_type = '#'</t>
        </is>
      </c>
      <c r="J17" s="15" t="n"/>
      <c r="K17" s="15" t="n"/>
      <c r="L17" s="15" t="n"/>
      <c r="M17" s="15" t="n"/>
      <c r="N17" s="15" t="n"/>
      <c r="O17" s="15" t="n"/>
      <c r="P17" s="15" t="n"/>
    </row>
    <row r="18">
      <c r="A18" s="14" t="n">
        <v>17</v>
      </c>
      <c r="B18" s="14" t="inlineStr">
        <is>
          <t>bird-dev-00266</t>
        </is>
      </c>
      <c r="C18" s="14" t="inlineStr">
        <is>
          <t>toxicology</t>
        </is>
      </c>
      <c r="D18" s="14" t="inlineStr">
        <is>
          <t>simple</t>
        </is>
      </c>
      <c r="E18" s="14" t="inlineStr">
        <is>
          <t>List down the molecule id for non carcinogenic molecules.</t>
        </is>
      </c>
      <c r="F18" s="14" t="inlineStr">
        <is>
          <t>Liệt kê các molecule_id của các phân tử không gây ung thư.</t>
        </is>
      </c>
      <c r="G18" s="14" t="inlineStr">
        <is>
          <t>label = '-' means molecules are non-carcinogenic</t>
        </is>
      </c>
      <c r="H18" s="14" t="inlineStr">
        <is>
          <t>label = '-' có nghĩa là các phân tử không gây ung thư.</t>
        </is>
      </c>
      <c r="I18" s="14" t="inlineStr">
        <is>
          <t>SELECT T.molecule_id FROM molecule AS T WHERE T.label = '-'</t>
        </is>
      </c>
      <c r="J18" s="15" t="n"/>
      <c r="K18" s="15" t="n"/>
      <c r="L18" s="15" t="n"/>
      <c r="M18" s="15" t="n"/>
      <c r="N18" s="15" t="n"/>
      <c r="O18" s="15" t="n"/>
      <c r="P18" s="15" t="n"/>
    </row>
    <row r="19">
      <c r="A19" s="14" t="n">
        <v>18</v>
      </c>
      <c r="B19" s="14" t="inlineStr">
        <is>
          <t>bird-dev-00281</t>
        </is>
      </c>
      <c r="C19" s="14" t="inlineStr">
        <is>
          <t>toxicology</t>
        </is>
      </c>
      <c r="D19" s="14" t="inlineStr">
        <is>
          <t>moderate</t>
        </is>
      </c>
      <c r="E19" s="14" t="inlineStr">
        <is>
          <t>Enumerate the bond ID of triple bond type molecules and tell me if they are carcinogenic or not.</t>
        </is>
      </c>
      <c r="F19" s="14" t="inlineStr">
        <is>
          <t>Liệt kê các bond_id của các phân tử có kiểu liên kết ba và cho biết chúng có gây ung thư hay không.</t>
        </is>
      </c>
      <c r="G19" s="14" t="inlineStr">
        <is>
          <t>triple bond refers to bond_type = '#'; label = '+' mean molecules are carcinogenic; label = '-' means molecules are non-carcinogenic</t>
        </is>
      </c>
      <c r="H19" s="14" t="inlineStr">
        <is>
          <t>kiểu liên kết ba tham chiếu tới bond_type = '#'; label = '+' nghĩa là phân tử gây ung thư; label = '-' nghĩa là phân tử không gây ung thư</t>
        </is>
      </c>
      <c r="I19" s="14" t="inlineStr">
        <is>
          <t>SELECT DISTINCT T1.bond_id, T2.label FROM bond AS T1 INNER JOIN molecule AS T2 ON T1.molecule_id = T2.molecule_id WHERE T1.bond_type = '#'</t>
        </is>
      </c>
      <c r="J19" s="15" t="n"/>
      <c r="K19" s="15" t="n"/>
      <c r="L19" s="15" t="n"/>
      <c r="M19" s="15" t="n"/>
      <c r="N19" s="15" t="n"/>
      <c r="O19" s="15" t="n"/>
      <c r="P19" s="15" t="n"/>
    </row>
    <row r="20">
      <c r="A20" s="14" t="n">
        <v>19</v>
      </c>
      <c r="B20" s="14" t="inlineStr">
        <is>
          <t>bird-dev-00287</t>
        </is>
      </c>
      <c r="C20" s="14" t="inlineStr">
        <is>
          <t>toxicology</t>
        </is>
      </c>
      <c r="D20" s="14" t="inlineStr">
        <is>
          <t>simple</t>
        </is>
      </c>
      <c r="E20" s="14" t="inlineStr">
        <is>
          <t>Among all chemical compounds identified in the database, what percent of compounds form a triple-bond.</t>
        </is>
      </c>
      <c r="F20" s="14" t="inlineStr">
        <is>
          <t>Trong tất cả các chất hóa học được nhận diện trong cơ sở dữ liệu, có bao nhiêu phần trăm các chất hình thành một liên kết ba?</t>
        </is>
      </c>
      <c r="G20" s="14" t="inlineStr">
        <is>
          <t>triple bond refers to bond_type = '#';</t>
        </is>
      </c>
      <c r="H20" s="14" t="inlineStr">
        <is>
          <t>liên kết ba tham chiếu tới bond_type = '#';</t>
        </is>
      </c>
      <c r="I20" s="14" t="inlineStr">
        <is>
          <t>SELECT CAST(COUNT(CASE WHEN T.bond_type = '#' THEN T.bond_id ELSE NULL END) AS REAL) * 100 / COUNT(T.bond_id) FROM bond AS T</t>
        </is>
      </c>
      <c r="J20" s="15" t="n"/>
      <c r="K20" s="15" t="n"/>
      <c r="L20" s="15" t="n"/>
      <c r="M20" s="15" t="n"/>
      <c r="N20" s="15" t="n"/>
      <c r="O20" s="15" t="n"/>
      <c r="P20" s="15" t="n"/>
    </row>
    <row r="21">
      <c r="A21" s="14" t="n">
        <v>20</v>
      </c>
      <c r="B21" s="14" t="inlineStr">
        <is>
          <t>bird-dev-00323</t>
        </is>
      </c>
      <c r="C21" s="14" t="inlineStr">
        <is>
          <t>toxicology</t>
        </is>
      </c>
      <c r="D21" s="14" t="inlineStr">
        <is>
          <t>challenging</t>
        </is>
      </c>
      <c r="E21" s="14" t="inlineStr">
        <is>
          <t>What is the element of toxicology for the atom with the ID of TR000_1?</t>
        </is>
      </c>
      <c r="F21" s="14" t="inlineStr">
        <is>
          <t>Nguyên tố của phân tử toxicology cho átom có ID là TR000_1 là gì?</t>
        </is>
      </c>
      <c r="G21" s="14" t="inlineStr">
        <is>
          <t>atom with ID refers to atom_id; element = 'cl' means Chlorine; element = 'c' means Carbon; element = 'h' means Hydrogen; element = 'o' means Oxygen, element = 's' means Sulfur; element = 'n' means Nitrogen, element = 'p' means Phosphorus, element = 'na' means Sodium, element = 'br' means Bromine, element = 'f' means Fluorine; element = 'i' means Iodine; element = 'sn' means Tin; element = 'pb' means Lead; element = 'te' means Tellurium; element = 'ca' means Calcium</t>
        </is>
      </c>
      <c r="H21" s="14" t="inlineStr">
        <is>
          <t>átom có ID tham chiếu tới atom_id; element = 'cl' nghĩa là Chlorine; element = 'c' nghĩa là Carbon; element = 'h' nghĩa là Hydrogen; element = 'o' nghĩa là Oxygen, element = 's' nghĩa là Sulfur; element = 'n' nghĩa là Nitrogen, element = 'p' nghĩa là Phosphorus, element = 'na' nghĩa là Sodium, element = 'br' nghĩa là Bromine, element = 'f' nghĩa là Fluorine; element = 'i' nghĩa là Iodine; element = 'sn' nghĩa là Tin; element = 'pb' nghĩa là Lead; element = 'te' nghĩa là Tellurium; element = 'ca' nghĩa là Calcium</t>
        </is>
      </c>
      <c r="I21" s="14" t="inlineStr">
        <is>
          <t>SELECT T.element FROM atom AS T WHERE T.atom_id = 'TR000_1'</t>
        </is>
      </c>
      <c r="J21" s="15" t="n"/>
      <c r="K21" s="15" t="n"/>
      <c r="L21" s="15" t="n"/>
      <c r="M21" s="15" t="n"/>
      <c r="N21" s="15" t="n"/>
      <c r="O21" s="15" t="n"/>
      <c r="P21" s="15" t="n"/>
    </row>
    <row r="22">
      <c r="A22" s="14" t="n">
        <v>21</v>
      </c>
      <c r="B22" s="14" t="inlineStr">
        <is>
          <t>bird-dev-00328</t>
        </is>
      </c>
      <c r="C22" s="14" t="inlineStr">
        <is>
          <t>toxicology</t>
        </is>
      </c>
      <c r="D22" s="14" t="inlineStr">
        <is>
          <t>moderate</t>
        </is>
      </c>
      <c r="E22" s="14" t="inlineStr">
        <is>
          <t>Which non-carcinogenic molecules consisted more than 5 atoms?</t>
        </is>
      </c>
      <c r="F22" s="14" t="inlineStr">
        <is>
          <t>Những phân tử không gây ung thư nào có hơn 5 atom?</t>
        </is>
      </c>
      <c r="G22" s="14" t="inlineStr">
        <is>
          <t>label = '-' means molecules are non-carcinogenic; molecules consisted more than 5 atoms refers to COUNT(molecule_id) &gt; 5</t>
        </is>
      </c>
      <c r="H22" s="14" t="inlineStr">
        <is>
          <t>label = '-' nghĩa là các phân tử không gây ung thư; các phân tử có hơn 5 atom tương ứng với COUNT(molecule_id) &gt; 5</t>
        </is>
      </c>
      <c r="I22" s="14" t="inlineStr">
        <is>
          <t>SELECT T.molecule_id FROM ( SELECT T1.molecule_id, COUNT(T2.atom_id) FROM molecule AS T1 INNER JOIN atom AS T2 ON T1.molecule_id = T2.molecule_id WHERE T1.label = '-' GROUP BY T1.molecule_id HAVING COUNT(T2.atom_id) &gt; 5 ) t</t>
        </is>
      </c>
      <c r="J22" s="15" t="n"/>
      <c r="K22" s="15" t="n"/>
      <c r="L22" s="15" t="n"/>
      <c r="M22" s="15" t="n"/>
      <c r="N22" s="15" t="n"/>
      <c r="O22" s="15" t="n"/>
      <c r="P22" s="15" t="n"/>
    </row>
    <row r="23">
      <c r="A23" s="14" t="n">
        <v>22</v>
      </c>
      <c r="B23" s="14" t="inlineStr">
        <is>
          <t>bird-dev-00354</t>
        </is>
      </c>
      <c r="C23" s="14" t="inlineStr">
        <is>
          <t>card_games</t>
        </is>
      </c>
      <c r="D23" s="14" t="inlineStr">
        <is>
          <t>simple</t>
        </is>
      </c>
      <c r="E23" s="14" t="inlineStr">
        <is>
          <t>List all the sets available in Italian translation. State the total number of cards per set.</t>
        </is>
      </c>
      <c r="F23" s="14" t="inlineStr">
        <is>
          <t>Liệt kê tất cả các bộ sưu tập có bản dịch bằng tiếng Ý. Ghi nhận tổng số thẻ trong mỗi bộ sưu tập.</t>
        </is>
      </c>
      <c r="G23" s="14" t="inlineStr">
        <is>
          <t>Italian translation refers to language = 'Italian'; total number of card per set refers to totalSetSize;</t>
        </is>
      </c>
      <c r="H23" s="14" t="inlineStr">
        <is>
          <t>bản dịch bằng tiếng Ý tham chiếu đến language = 'Italian'; tổng số thẻ trong mỗi bộ sưu tập tham chiếu đến totalSetSize;</t>
        </is>
      </c>
      <c r="I23" s="14" t="inlineStr">
        <is>
          <t>SELECT T1.name, T1.totalSetSize FROM sets AS T1 INNER JOIN set_translations AS T2 ON T1.code = T2.setCode WHERE T2.language = 'Italian'</t>
        </is>
      </c>
      <c r="J23" s="15" t="n"/>
      <c r="K23" s="15" t="n"/>
      <c r="L23" s="15" t="n"/>
      <c r="M23" s="15" t="n"/>
      <c r="N23" s="15" t="n"/>
      <c r="O23" s="15" t="n"/>
      <c r="P23" s="15" t="n"/>
    </row>
    <row r="24">
      <c r="A24" s="14" t="n">
        <v>23</v>
      </c>
      <c r="B24" s="14" t="inlineStr">
        <is>
          <t>bird-dev-00358</t>
        </is>
      </c>
      <c r="C24" s="14" t="inlineStr">
        <is>
          <t>card_games</t>
        </is>
      </c>
      <c r="D24" s="14" t="inlineStr">
        <is>
          <t>simple</t>
        </is>
      </c>
      <c r="E24" s="14" t="inlineStr">
        <is>
          <t>What type of promotion is of card 'Duress'?</t>
        </is>
      </c>
      <c r="F24" s="14" t="inlineStr">
        <is>
          <t>Loại quảng bá của thẻ 'Duress' là gì?</t>
        </is>
      </c>
      <c r="G24" s="14" t="inlineStr">
        <is>
          <t>card Duress refers to name = 'Duress'; type of promotion refers to promoTypes;</t>
        </is>
      </c>
      <c r="H24" s="14" t="inlineStr">
        <is>
          <t>thẻ Duress ám chỉ name = 'Duress'; loại quảng bá ám chỉ promoTypes;</t>
        </is>
      </c>
      <c r="I24" s="14" t="inlineStr">
        <is>
          <t>SELECT promoTypes FROM cards WHERE name = 'Duress' AND promoTypes IS NOT NULL</t>
        </is>
      </c>
      <c r="J24" s="15" t="n"/>
      <c r="K24" s="15" t="n"/>
      <c r="L24" s="15" t="n"/>
      <c r="M24" s="15" t="n"/>
      <c r="N24" s="15" t="n"/>
      <c r="O24" s="15" t="n"/>
      <c r="P24" s="15" t="n"/>
    </row>
    <row r="25">
      <c r="A25" s="14" t="n">
        <v>24</v>
      </c>
      <c r="B25" s="14" t="inlineStr">
        <is>
          <t>bird-dev-00385</t>
        </is>
      </c>
      <c r="C25" s="14" t="inlineStr">
        <is>
          <t>card_games</t>
        </is>
      </c>
      <c r="D25" s="14" t="inlineStr">
        <is>
          <t>simple</t>
        </is>
      </c>
      <c r="E25" s="14" t="inlineStr">
        <is>
          <t>List down the uuid for legacy cards and the foreign language of these cards.</t>
        </is>
      </c>
      <c r="F25" s="14" t="inlineStr">
        <is>
          <t>Liệt kê uuid của các thẻ thuộc legacy và ngôn ngữ nước ngoài của những thẻ đó.</t>
        </is>
      </c>
      <c r="G25" s="14" t="inlineStr">
        <is>
          <t>legacy card refers to format = 'legacy'; foreign language refers to language in foreign_data</t>
        </is>
      </c>
      <c r="H25" s="14" t="inlineStr">
        <is>
          <t>thẻ legacy ám chỉ format = 'legacy'; ngôn ngữ nước ngoài ám chỉ language trong foreign_data</t>
        </is>
      </c>
      <c r="I25" s="14" t="inlineStr">
        <is>
          <t>SELECT T1.uuid, T3.language FROM cards AS T1 INNER JOIN legalities AS T2 ON T1.uuid = T2.uuid INNER JOIN foreign_data AS T3 ON T1.uuid = T3.uuid WHERE T2.format = 'legacy'</t>
        </is>
      </c>
      <c r="J25" s="15" t="n"/>
      <c r="K25" s="15" t="n"/>
      <c r="L25" s="15" t="n"/>
      <c r="M25" s="15" t="n"/>
      <c r="N25" s="15" t="n"/>
      <c r="O25" s="15" t="n"/>
      <c r="P25" s="15" t="n"/>
    </row>
    <row r="26">
      <c r="A26" s="14" t="n">
        <v>25</v>
      </c>
      <c r="B26" s="14" t="inlineStr">
        <is>
          <t>bird-dev-00422</t>
        </is>
      </c>
      <c r="C26" s="14" t="inlineStr">
        <is>
          <t>card_games</t>
        </is>
      </c>
      <c r="D26" s="14" t="inlineStr">
        <is>
          <t>simple</t>
        </is>
      </c>
      <c r="E26" s="14" t="inlineStr">
        <is>
          <t>Please list top three unknown power cards that have promotional types for arena league in alphabetical order.</t>
        </is>
      </c>
      <c r="F26" s="14" t="inlineStr">
        <is>
          <t>Vui lòng liệt kê ba thẻ có power chưa rõ ràng xếp hạng đầu tiên theo thứ tự chữ cái và có loại quảng cáo cho arena league.</t>
        </is>
      </c>
      <c r="G26" s="14" t="inlineStr">
        <is>
          <t>unknown power cards refers to power is null or power = '*'; promotional types for arena league refers to promoTypes = 'arenaleague'</t>
        </is>
      </c>
      <c r="H26" s="14" t="inlineStr">
        <is>
          <t>thẻ có power chưa rõ ràng tham chiếu tới power is null hoặc power = '*'; loại quảng cáo cho arena league tham chiếu tới promoTypes = 'arenaleague'</t>
        </is>
      </c>
      <c r="I26" s="14" t="inlineStr">
        <is>
          <t>SELECT name FROM cards WHERE (power IS NULL OR power LIKE '%*%') AND promoTypes = 'arenaleague' ORDER BY name LIMIT 3</t>
        </is>
      </c>
      <c r="J26" s="15" t="n"/>
      <c r="K26" s="15" t="n"/>
      <c r="L26" s="15" t="n"/>
      <c r="M26" s="15" t="n"/>
      <c r="N26" s="15" t="n"/>
      <c r="O26" s="15" t="n"/>
      <c r="P26" s="15" t="n"/>
    </row>
    <row r="27">
      <c r="A27" s="14" t="n">
        <v>26</v>
      </c>
      <c r="B27" s="14" t="inlineStr">
        <is>
          <t>bird-dev-00446</t>
        </is>
      </c>
      <c r="C27" s="14" t="inlineStr">
        <is>
          <t>card_games</t>
        </is>
      </c>
      <c r="D27" s="14" t="inlineStr">
        <is>
          <t>simple</t>
        </is>
      </c>
      <c r="E27" s="14" t="inlineStr">
        <is>
          <t>What is the language and flavor text of the card that has colorpie watermark? List out the type of this card.</t>
        </is>
      </c>
      <c r="F27" s="14" t="inlineStr">
        <is>
          <t>Ngôn ngữ và flavor text của thẻ có watermark colorpie là gì? Hãy liệt kê loại của thẻ này.</t>
        </is>
      </c>
      <c r="G27" s="14" t="inlineStr"/>
      <c r="H27" s="14" t="inlineStr">
        <is>
          <t>(no evidence)</t>
        </is>
      </c>
      <c r="I27" s="14" t="inlineStr">
        <is>
          <t>SELECT DISTINCT T2.language, T2.flavorText FROM cards AS T1 INNER JOIN foreign_data AS T2 ON T2.uuid = T1.uuid WHERE T1.watermark = 'colorpie'</t>
        </is>
      </c>
      <c r="J27" s="15" t="n"/>
      <c r="K27" s="15" t="n"/>
      <c r="L27" s="15" t="n"/>
      <c r="M27" s="15" t="n"/>
      <c r="N27" s="15" t="n"/>
      <c r="O27" s="15" t="n"/>
      <c r="P27" s="15" t="n"/>
    </row>
    <row r="28">
      <c r="A28" s="14" t="n">
        <v>27</v>
      </c>
      <c r="B28" s="14" t="inlineStr">
        <is>
          <t>bird-dev-00449</t>
        </is>
      </c>
      <c r="C28" s="14" t="inlineStr">
        <is>
          <t>card_games</t>
        </is>
      </c>
      <c r="D28" s="14" t="inlineStr">
        <is>
          <t>simple</t>
        </is>
      </c>
      <c r="E28" s="14" t="inlineStr">
        <is>
          <t>Name the foreign name of the card that has abzan watermark? List out the type of this card.</t>
        </is>
      </c>
      <c r="F28" s="14" t="inlineStr">
        <is>
          <t>Hãy nêu tên ngoại ngữ của thẻ có watermark abzan. Liệt kê loại của thẻ này.</t>
        </is>
      </c>
      <c r="G28" s="14" t="inlineStr"/>
      <c r="H28" s="14" t="inlineStr">
        <is>
          <t>(no evidence)</t>
        </is>
      </c>
      <c r="I28" s="14" t="inlineStr">
        <is>
          <t>SELECT DISTINCT T1.name, T1.type FROM cards AS T1 INNER JOIN foreign_data AS T2 ON T2.uuid = T1.uuid WHERE T1.watermark = 'abzan'</t>
        </is>
      </c>
      <c r="J28" s="15" t="n"/>
      <c r="K28" s="15" t="n"/>
      <c r="L28" s="15" t="n"/>
      <c r="M28" s="15" t="n"/>
      <c r="N28" s="15" t="n"/>
      <c r="O28" s="15" t="n"/>
      <c r="P28" s="15" t="n"/>
    </row>
    <row r="29">
      <c r="A29" s="14" t="n">
        <v>28</v>
      </c>
      <c r="B29" s="14" t="inlineStr">
        <is>
          <t>bird-dev-00469</t>
        </is>
      </c>
      <c r="C29" s="14" t="inlineStr">
        <is>
          <t>card_games</t>
        </is>
      </c>
      <c r="D29" s="14" t="inlineStr">
        <is>
          <t>moderate</t>
        </is>
      </c>
      <c r="E29" s="14" t="inlineStr">
        <is>
          <t>What is the Simplified Chinese translation of the name of the set "Eighth Edition"?</t>
        </is>
      </c>
      <c r="F29" s="14" t="inlineStr">
        <is>
          <t>Dịch thuật tên của bộ bài "Eighth Edition" sang tiếng Trung giản thể là gì?</t>
        </is>
      </c>
      <c r="G29" s="14" t="inlineStr">
        <is>
          <t>Eighth Edition is the name of card set which refers to name = 'Eighth Edition'; Simplified Chinese refers to language = 'Chinese Simplified'; translation of the name refers to translation</t>
        </is>
      </c>
      <c r="H29" s="14" t="inlineStr">
        <is>
          <t>"Eighth Edition" là tên của bộ bài, tương ứng với name = 'Eighth Edition'; tiếng Trung giản thể tương ứng với language = 'Chinese Simplified'; dịch thuật tên tương ứng với translation</t>
        </is>
      </c>
      <c r="I29" s="14" t="inlineStr">
        <is>
          <t>SELECT T2.translation FROM sets AS T1 INNER JOIN set_translations AS T2 ON T2.setCode = T1.code WHERE T1.name = 'Eighth Edition' AND T2.language = 'Chinese Simplified'</t>
        </is>
      </c>
      <c r="J29" s="15" t="n"/>
      <c r="K29" s="15" t="n"/>
      <c r="L29" s="15" t="n"/>
      <c r="M29" s="15" t="n"/>
      <c r="N29" s="15" t="n"/>
      <c r="O29" s="15" t="n"/>
      <c r="P29" s="15" t="n"/>
    </row>
    <row r="30">
      <c r="A30" s="14" t="n">
        <v>29</v>
      </c>
      <c r="B30" s="14" t="inlineStr">
        <is>
          <t>bird-dev-00470</t>
        </is>
      </c>
      <c r="C30" s="14" t="inlineStr">
        <is>
          <t>card_games</t>
        </is>
      </c>
      <c r="D30" s="14" t="inlineStr">
        <is>
          <t>moderate</t>
        </is>
      </c>
      <c r="E30" s="14" t="inlineStr">
        <is>
          <t>Did the set of cards with "Angel of Mercy" appear on Magic: The Gathering Online?</t>
        </is>
      </c>
      <c r="F30" s="14" t="inlineStr">
        <is>
          <t>Bộ bài có tên "Angel of Mercy" có xuất hiện trên Magic: The Gathering Online không?</t>
        </is>
      </c>
      <c r="G30" s="14" t="inlineStr">
        <is>
          <t>card set "Angel of Mercy" refers to name = 'Angel of Mercy'; appear on Magic: The Gathering Online refers to mtgoCode is NOT NULL and vice versa</t>
        </is>
      </c>
      <c r="H30" s="14" t="inlineStr">
        <is>
          <t>bộ bài có tên "Angel of Mercy" tham chiếu tới name = 'Angel of Mercy'; xuất hiện trên Magic: The Gathering Online tham chiếu tới mtgoCode is NOT NULL và ngược lại</t>
        </is>
      </c>
      <c r="I30" s="14" t="inlineStr">
        <is>
          <t>SELECT IIF(T2.mtgoCode IS NOT NULL, 'YES', 'NO') FROM cards AS T1 INNER JOIN sets AS T2 ON T2.code = T1.setCode WHERE T1.name = 'Angel of Mercy'</t>
        </is>
      </c>
      <c r="J30" s="15" t="n"/>
      <c r="K30" s="15" t="n"/>
      <c r="L30" s="15" t="n"/>
      <c r="M30" s="15" t="n"/>
      <c r="N30" s="15" t="n"/>
      <c r="O30" s="15" t="n"/>
      <c r="P30" s="15" t="n"/>
    </row>
    <row r="31">
      <c r="A31" s="14" t="n">
        <v>30</v>
      </c>
      <c r="B31" s="14" t="inlineStr">
        <is>
          <t>bird-dev-00489</t>
        </is>
      </c>
      <c r="C31" s="14" t="inlineStr">
        <is>
          <t>card_games</t>
        </is>
      </c>
      <c r="D31" s="14" t="inlineStr">
        <is>
          <t>simple</t>
        </is>
      </c>
      <c r="E31" s="14" t="inlineStr">
        <is>
          <t>What's the code for the set which was released on 2017/7/14?</t>
        </is>
      </c>
      <c r="F31" s="14" t="inlineStr">
        <is>
          <t>Mã (code) cho bộ bài được phát hành vào ngày 2017/7/14 là gì?</t>
        </is>
      </c>
      <c r="G31" s="14" t="inlineStr">
        <is>
          <t>released on 2017/7/14 refers to releaseDate = '2017-07-14'</t>
        </is>
      </c>
      <c r="H31" s="14" t="inlineStr">
        <is>
          <t>được phát hành vào ngày 2017/7/14 tương ứng với releaseDate = '2017-07-14'</t>
        </is>
      </c>
      <c r="I31" s="14" t="inlineStr">
        <is>
          <t>SELECT code FROM sets WHERE releaseDate = '2017-07-14' GROUP BY releaseDate, code</t>
        </is>
      </c>
      <c r="J31" s="15" t="n"/>
      <c r="K31" s="15" t="n"/>
      <c r="L31" s="15" t="n"/>
      <c r="M31" s="15" t="n"/>
      <c r="N31" s="15" t="n"/>
      <c r="O31" s="15" t="n"/>
      <c r="P31" s="15" t="n"/>
    </row>
    <row r="32">
      <c r="A32" s="14" t="n">
        <v>31</v>
      </c>
      <c r="B32" s="14" t="inlineStr">
        <is>
          <t>bird-dev-00508</t>
        </is>
      </c>
      <c r="C32" s="14" t="inlineStr">
        <is>
          <t>card_games</t>
        </is>
      </c>
      <c r="D32" s="14" t="inlineStr">
        <is>
          <t>challenging</t>
        </is>
      </c>
      <c r="E32" s="14" t="inlineStr">
        <is>
          <t>For all the set of cards that has Brazil Portuguese translation, what is the percentage of them are only available online?</t>
        </is>
      </c>
      <c r="F32" s="14" t="inlineStr">
        <is>
          <t>Đối với tất cả bộ bài có bản dịch sang tiếng Bồ Đào Nha (Brazil), tỷ lệ phần trăm của chúng chỉ có sẵn trực tuyến là bao nhiêu?</t>
        </is>
      </c>
      <c r="G32" s="14" t="inlineStr">
        <is>
          <t>Brazil Portuguese translation refers to language = 'Portuguese (Brazil)'; only available online refers to isOnlineOnly = 1; percentage of online only Brazil Portuguese in all Brazil Portuguese cards refers to DIVIDE(SUM(isOnlineOnly = 1), SUM(language = 'Portuguese (Brazil)))*100</t>
        </is>
      </c>
      <c r="H32" s="14" t="inlineStr">
        <is>
          <t>bản dịch sang tiếng Bồ Đào Nha (Brazil) tham chiếu tới language = 'Portuguese (Brazil)'; chỉ có sẵn trực tuyến tham chiếu tới isOnlineOnly = 1; tỷ lệ phần trăm của các bộ bài Brazil Portuguese chỉ có sẵn trực tuyến trong tất cả các bộ bài Brazil Portuguese tham chiếu tới DIVIDE(SUM(isOnlineOnly = 1), SUM(language = 'Portuguese (Brazil)))*100</t>
        </is>
      </c>
      <c r="I32" s="14" t="inlineStr">
        <is>
          <t>SELECT CAST(SUM(CASE WHEN isOnlineOnly = 1 THEN 1 ELSE 0 END) AS REAL) * 100 / COUNT(id) FROM sets WHERE code IN ( SELECT setCode FROM set_translations WHERE language = 'Portuguese (Brazil)' )</t>
        </is>
      </c>
      <c r="J32" s="15" t="n"/>
      <c r="K32" s="15" t="n"/>
      <c r="L32" s="15" t="n"/>
      <c r="M32" s="15" t="n"/>
      <c r="N32" s="15" t="n"/>
      <c r="O32" s="15" t="n"/>
      <c r="P32" s="15" t="n"/>
    </row>
    <row r="33">
      <c r="A33" s="14" t="n">
        <v>32</v>
      </c>
      <c r="B33" s="14" t="inlineStr">
        <is>
          <t>bird-dev-00512</t>
        </is>
      </c>
      <c r="C33" s="14" t="inlineStr">
        <is>
          <t>card_games</t>
        </is>
      </c>
      <c r="D33" s="14" t="inlineStr">
        <is>
          <t>moderate</t>
        </is>
      </c>
      <c r="E33" s="14" t="inlineStr">
        <is>
          <t>What is the most common visual frame effects among the incredibly powerful foils?</t>
        </is>
      </c>
      <c r="F33" s="14" t="inlineStr">
        <is>
          <t>Hiệu ứng khung hình nhìn thấy phổ biến nhất trong các foils cực kỳ mạnh mẽ là gì?</t>
        </is>
      </c>
      <c r="G33" s="14" t="inlineStr">
        <is>
          <t>when both cardKingdomFoilId and cardKingdomId are not null, this foil is incredibly powerful; most common visual frame effects refers to MAX(frameEffects)</t>
        </is>
      </c>
      <c r="H33" s="14" t="inlineStr">
        <is>
          <t>khi cả cardKingdomFoilId và cardKingdomId đều không null, foil này được coi là cực kỳ mạnh mẽ; hiệu ứng khung hình nhìn thấy phổ biến nhất tương ứng với MAX(frameEffects)</t>
        </is>
      </c>
      <c r="I33" s="14" t="inlineStr">
        <is>
          <t>SELECT frameEffects FROM cards WHERE cardKingdomFoilId IS NOT NULL AND cardKingdomId IS NOT NULL GROUP BY frameEffects ORDER BY COUNT(frameEffects) DESC LIMIT 1</t>
        </is>
      </c>
      <c r="J33" s="15" t="n"/>
      <c r="K33" s="15" t="n"/>
      <c r="L33" s="15" t="n"/>
      <c r="M33" s="15" t="n"/>
      <c r="N33" s="15" t="n"/>
      <c r="O33" s="15" t="n"/>
      <c r="P33" s="15" t="n"/>
    </row>
    <row r="34">
      <c r="A34" s="14" t="n">
        <v>33</v>
      </c>
      <c r="B34" s="14" t="inlineStr">
        <is>
          <t>bird-dev-00535</t>
        </is>
      </c>
      <c r="C34" s="14" t="inlineStr">
        <is>
          <t>codebase_community</t>
        </is>
      </c>
      <c r="D34" s="14" t="inlineStr">
        <is>
          <t>simple</t>
        </is>
      </c>
      <c r="E34" s="14" t="inlineStr">
        <is>
          <t>What is the display name of the user who has the most number of views?</t>
        </is>
      </c>
      <c r="F34" s="14" t="inlineStr">
        <is>
          <t>Tên hiển thị của người dùng có số lượt xem nhiều nhất là gì?</t>
        </is>
      </c>
      <c r="G34" s="14" t="inlineStr">
        <is>
          <t>user who has the most number of view refers to Max(Views)</t>
        </is>
      </c>
      <c r="H34" s="14" t="inlineStr">
        <is>
          <t>người dùng có số lượt xem nhiều nhất tham chiếu tới Max(Views)</t>
        </is>
      </c>
      <c r="I34" s="14" t="inlineStr">
        <is>
          <t>SELECT DisplayName FROM users WHERE Views = ( SELECT MAX(Views) FROM users )</t>
        </is>
      </c>
      <c r="J34" s="15" t="n"/>
      <c r="K34" s="15" t="n"/>
      <c r="L34" s="15" t="n"/>
      <c r="M34" s="15" t="n"/>
      <c r="N34" s="15" t="n"/>
      <c r="O34" s="15" t="n"/>
      <c r="P34" s="15" t="n"/>
    </row>
    <row r="35">
      <c r="A35" s="14" t="n">
        <v>34</v>
      </c>
      <c r="B35" s="14" t="inlineStr">
        <is>
          <t>bird-dev-00572</t>
        </is>
      </c>
      <c r="C35" s="14" t="inlineStr">
        <is>
          <t>codebase_community</t>
        </is>
      </c>
      <c r="D35" s="14" t="inlineStr">
        <is>
          <t>moderate</t>
        </is>
      </c>
      <c r="E35" s="14" t="inlineStr">
        <is>
          <t>For the user No.24, how many times is the number of his/her posts compared to his/her votes?</t>
        </is>
      </c>
      <c r="F35" s="14" t="inlineStr">
        <is>
          <t>Đối với người dùng số 24, số lần so sánh giữa số bài viết của người dùng đó với số lượt bình chọn là bao nhiêu?</t>
        </is>
      </c>
      <c r="G35" s="14" t="inlineStr">
        <is>
          <t>user no. 24 refers to UserId = OwnerUserId = '24'; times of his/her post than votes = Divide (Count(post.Id), Count(votes.Id))</t>
        </is>
      </c>
      <c r="H35" s="14" t="inlineStr">
        <is>
          <t>người dùng số 24 tham chiếu tới UserId = OwnerUserId = '24'; số lần bài viết nhiều hơn lượt bình chọn = Divide (Count(post.Id), Count(votes.Id))</t>
        </is>
      </c>
      <c r="I35" s="14" t="inlineStr">
        <is>
          <t>SELECT CAST(COUNT(T2.Id) AS REAL) / COUNT(DISTINCT T1.Id) FROM votes AS T1 INNER JOIN posts AS T2 ON T1.UserId = T2.OwnerUserId WHERE T1.UserId = 24</t>
        </is>
      </c>
      <c r="J35" s="15" t="n"/>
      <c r="K35" s="15" t="n"/>
      <c r="L35" s="15" t="n"/>
      <c r="M35" s="15" t="n"/>
      <c r="N35" s="15" t="n"/>
      <c r="O35" s="15" t="n"/>
      <c r="P35" s="15" t="n"/>
    </row>
    <row r="36">
      <c r="A36" s="14" t="n">
        <v>35</v>
      </c>
      <c r="B36" s="14" t="inlineStr">
        <is>
          <t>bird-dev-00591</t>
        </is>
      </c>
      <c r="C36" s="14" t="inlineStr">
        <is>
          <t>codebase_community</t>
        </is>
      </c>
      <c r="D36" s="14" t="inlineStr">
        <is>
          <t>simple</t>
        </is>
      </c>
      <c r="E36" s="14" t="inlineStr">
        <is>
          <t>Which user ID has the lowest view?</t>
        </is>
      </c>
      <c r="F36" s="14" t="inlineStr">
        <is>
          <t>ID người dùng nào có lượt xem thấp nhất?</t>
        </is>
      </c>
      <c r="G36" s="14" t="inlineStr">
        <is>
          <t>lowest views refers to Min(Views)</t>
        </is>
      </c>
      <c r="H36" s="14" t="inlineStr">
        <is>
          <t>lượt xem thấp nhất tương ứng với Min(Views)</t>
        </is>
      </c>
      <c r="I36" s="14" t="inlineStr">
        <is>
          <t>SELECT Id FROM users WHERE Views = ( SELECT MIN(Views) FROM users )</t>
        </is>
      </c>
      <c r="J36" s="15" t="n"/>
      <c r="K36" s="15" t="n"/>
      <c r="L36" s="15" t="n"/>
      <c r="M36" s="15" t="n"/>
      <c r="N36" s="15" t="n"/>
      <c r="O36" s="15" t="n"/>
      <c r="P36" s="15" t="n"/>
    </row>
    <row r="37">
      <c r="A37" s="14" t="n">
        <v>36</v>
      </c>
      <c r="B37" s="14" t="inlineStr">
        <is>
          <t>bird-dev-00608</t>
        </is>
      </c>
      <c r="C37" s="14" t="inlineStr">
        <is>
          <t>codebase_community</t>
        </is>
      </c>
      <c r="D37" s="14" t="inlineStr">
        <is>
          <t>simple</t>
        </is>
      </c>
      <c r="E37" s="14" t="inlineStr">
        <is>
          <t>How many positive comments are there on the list?</t>
        </is>
      </c>
      <c r="F37" s="14" t="inlineStr">
        <is>
          <t>Có bao nhiêu bình luận tích cực trên danh sách?</t>
        </is>
      </c>
      <c r="G37" s="14" t="inlineStr">
        <is>
          <t>Positive comment refers to score &gt; 60</t>
        </is>
      </c>
      <c r="H37" s="14" t="inlineStr">
        <is>
          <t>Bình luận tích cực tham chiếu tới score &gt; 60</t>
        </is>
      </c>
      <c r="I37" s="14" t="inlineStr">
        <is>
          <t>SELECT COUNT(id) FROM comments WHERE score &gt; 60</t>
        </is>
      </c>
      <c r="J37" s="15" t="n"/>
      <c r="K37" s="15" t="n"/>
      <c r="L37" s="15" t="n"/>
      <c r="M37" s="15" t="n"/>
      <c r="N37" s="15" t="n"/>
      <c r="O37" s="15" t="n"/>
      <c r="P37" s="15" t="n"/>
    </row>
    <row r="38">
      <c r="A38" s="14" t="n">
        <v>37</v>
      </c>
      <c r="B38" s="14" t="inlineStr">
        <is>
          <t>bird-dev-00660</t>
        </is>
      </c>
      <c r="C38" s="14" t="inlineStr">
        <is>
          <t>codebase_community</t>
        </is>
      </c>
      <c r="D38" s="14" t="inlineStr">
        <is>
          <t>simple</t>
        </is>
      </c>
      <c r="E38" s="14" t="inlineStr">
        <is>
          <t>How many tags have post count between 5,000 to 7,000?</t>
        </is>
      </c>
      <c r="F38" s="14" t="inlineStr">
        <is>
          <t>Có bao nhiêu tag có số lượng bài viết nằm trong khoảng từ 5,000 đến 7,000?</t>
        </is>
      </c>
      <c r="G38" s="14" t="inlineStr">
        <is>
          <t>post count between 5,000 to 7,000 refers to Count BETWEEN 5000 and 7000;</t>
        </is>
      </c>
      <c r="H38" s="14" t="inlineStr">
        <is>
          <t>số lượng bài viết nằm trong khoảng từ 5,000 đến 7,000 tương ứng với Count BETWEEN 5000 and 7000;</t>
        </is>
      </c>
      <c r="I38" s="14" t="inlineStr">
        <is>
          <t>SELECT COUNT(Id) FROM tags WHERE Count BETWEEN 5000 AND 7000</t>
        </is>
      </c>
      <c r="J38" s="15" t="n"/>
      <c r="K38" s="15" t="n"/>
      <c r="L38" s="15" t="n"/>
      <c r="M38" s="15" t="n"/>
      <c r="N38" s="15" t="n"/>
      <c r="O38" s="15" t="n"/>
      <c r="P38" s="15" t="n"/>
    </row>
    <row r="39">
      <c r="A39" s="14" t="n">
        <v>38</v>
      </c>
      <c r="B39" s="14" t="inlineStr">
        <is>
          <t>bird-dev-00667</t>
        </is>
      </c>
      <c r="C39" s="14" t="inlineStr">
        <is>
          <t>codebase_community</t>
        </is>
      </c>
      <c r="D39" s="14" t="inlineStr">
        <is>
          <t>simple</t>
        </is>
      </c>
      <c r="E39" s="14" t="inlineStr">
        <is>
          <t>Among the posts that were voted by user 1465, what is the id of the most valuable post?</t>
        </is>
      </c>
      <c r="F39" s="14" t="inlineStr">
        <is>
          <t>Trong số các bài được bỏ phiếu bởi người dùng 1465, id của bài có giá trị cao nhất là gì?</t>
        </is>
      </c>
      <c r="G39" s="14" t="inlineStr">
        <is>
          <t>user 1465 refers to UserId = 1465; the most valuable post refers to MAX(FavoriteCount);</t>
        </is>
      </c>
      <c r="H39" s="14" t="inlineStr">
        <is>
          <t>người dùng 1465 tham chiếu tới UserId = 1465; bài có giá trị cao nhất tham chiếu tới MAX(FavoriteCount);</t>
        </is>
      </c>
      <c r="I39" s="14" t="inlineStr">
        <is>
          <t>SELECT T2.Id FROM votes AS T1 INNER JOIN posts AS T2 ON T1.PostId = T2.Id WHERE T1.UserId = 1465 ORDER BY T2.FavoriteCount DESC LIMIT 1</t>
        </is>
      </c>
      <c r="J39" s="15" t="n"/>
      <c r="K39" s="15" t="n"/>
      <c r="L39" s="15" t="n"/>
      <c r="M39" s="15" t="n"/>
      <c r="N39" s="15" t="n"/>
      <c r="O39" s="15" t="n"/>
      <c r="P39" s="15" t="n"/>
    </row>
    <row r="40">
      <c r="A40" s="14" t="n">
        <v>39</v>
      </c>
      <c r="B40" s="14" t="inlineStr">
        <is>
          <t>bird-dev-00695</t>
        </is>
      </c>
      <c r="C40" s="14" t="inlineStr">
        <is>
          <t>codebase_community</t>
        </is>
      </c>
      <c r="D40" s="14" t="inlineStr">
        <is>
          <t>moderate</t>
        </is>
      </c>
      <c r="E40" s="14" t="inlineStr">
        <is>
          <t>Provide the text of the latest 10 comments to the post with the title 'Analysing wind data with R' and the display name of the user who left it.</t>
        </is>
      </c>
      <c r="F40" s="14" t="inlineStr">
        <is>
          <t>Hãy cung cấp nội dung của 10 bình luận mới nhất đối với bài đăng có tiêu đề 'Analysing wind data with R' và tên hiển thị của người dùng đã để lại nó.</t>
        </is>
      </c>
      <c r="G40" s="14" t="inlineStr">
        <is>
          <t>the latest comment refers to MAX(CreationDate);</t>
        </is>
      </c>
      <c r="H40" s="14" t="inlineStr">
        <is>
          <t>Bình luận mới nhất tham chiếu tới MAX(CreationDate);</t>
        </is>
      </c>
      <c r="I40" s="14" t="inlineStr">
        <is>
          <t>SELECT T3.Text, T1.DisplayName FROM users AS T1 INNER JOIN posts AS T2 ON T1.Id = T2.OwnerUserId INNER JOIN comments AS T3 ON T2.Id = T3.PostId WHERE T2.Title = 'Analysing wind data with R' ORDER BY T1.CreationDate DESC LIMIT 10</t>
        </is>
      </c>
      <c r="J40" s="15" t="n"/>
      <c r="K40" s="15" t="n"/>
      <c r="L40" s="15" t="n"/>
      <c r="M40" s="15" t="n"/>
      <c r="N40" s="15" t="n"/>
      <c r="O40" s="15" t="n"/>
      <c r="P40" s="15" t="n"/>
    </row>
    <row r="41">
      <c r="A41" s="14" t="n">
        <v>40</v>
      </c>
      <c r="B41" s="14" t="inlineStr">
        <is>
          <t>bird-dev-00707</t>
        </is>
      </c>
      <c r="C41" s="14" t="inlineStr">
        <is>
          <t>codebase_community</t>
        </is>
      </c>
      <c r="D41" s="14" t="inlineStr">
        <is>
          <t>simple</t>
        </is>
      </c>
      <c r="E41" s="14" t="inlineStr">
        <is>
          <t>Give the texts commented on the post about linear regression.</t>
        </is>
      </c>
      <c r="F41" s="14" t="inlineStr">
        <is>
          <t>Hãy cho nội dung các bình luận trên bài viết về linear regression.</t>
        </is>
      </c>
      <c r="G41" s="14" t="inlineStr">
        <is>
          <t>about linear regression refers to Title contains 'linear regression'</t>
        </is>
      </c>
      <c r="H41" s="14" t="inlineStr">
        <is>
          <t>về linear regression tương ứng với tiêu đề chứa chuỗi 'linear regression'</t>
        </is>
      </c>
      <c r="I41" s="14" t="inlineStr">
        <is>
          <t>SELECT T1.Text FROM comments AS T1 INNER JOIN posts AS T2 ON T1.PostId = T2.Id WHERE T2.Title LIKE '%linear regression%'</t>
        </is>
      </c>
      <c r="J41" s="15" t="n"/>
      <c r="K41" s="15" t="n"/>
      <c r="L41" s="15" t="n"/>
      <c r="M41" s="15" t="n"/>
      <c r="N41" s="15" t="n"/>
      <c r="O41" s="15" t="n"/>
      <c r="P41" s="15" t="n"/>
    </row>
    <row r="42">
      <c r="A42" s="14" t="n">
        <v>41</v>
      </c>
      <c r="B42" s="14" t="inlineStr">
        <is>
          <t>bird-dev-00711</t>
        </is>
      </c>
      <c r="C42" s="14" t="inlineStr">
        <is>
          <t>codebase_community</t>
        </is>
      </c>
      <c r="D42" s="14" t="inlineStr">
        <is>
          <t>simple</t>
        </is>
      </c>
      <c r="E42" s="14" t="inlineStr">
        <is>
          <t>In posts with 1 comment, how many of the comments have 0 score?</t>
        </is>
      </c>
      <c r="F42" s="14" t="inlineStr">
        <is>
          <t>Trong các bài viết có 1 bình luận, có bao nhiêu bình luận có điểm số bằng 0?</t>
        </is>
      </c>
      <c r="G42" s="14" t="inlineStr">
        <is>
          <t>in posts with 1 comment refers to CommentCount = 1;</t>
        </is>
      </c>
      <c r="H42" s="14" t="inlineStr">
        <is>
          <t>trong các bài viết có 1 bình luận tham chiếu tới CommentCount = 1;</t>
        </is>
      </c>
      <c r="I42" s="14" t="inlineStr">
        <is>
          <t>SELECT COUNT(T1.id) FROM comments AS T1 INNER JOIN posts AS T2 ON T1.PostId = T2.Id WHERE T2.CommentCount = 1 AND T2.Score = 0</t>
        </is>
      </c>
      <c r="J42" s="15" t="n"/>
      <c r="K42" s="15" t="n"/>
      <c r="L42" s="15" t="n"/>
      <c r="M42" s="15" t="n"/>
      <c r="N42" s="15" t="n"/>
      <c r="O42" s="15" t="n"/>
      <c r="P42" s="15" t="n"/>
    </row>
    <row r="43">
      <c r="A43" s="14" t="n">
        <v>42</v>
      </c>
      <c r="B43" s="14" t="inlineStr">
        <is>
          <t>bird-dev-00747</t>
        </is>
      </c>
      <c r="C43" s="14" t="inlineStr">
        <is>
          <t>superhero</t>
        </is>
      </c>
      <c r="D43" s="14" t="inlineStr">
        <is>
          <t>simple</t>
        </is>
      </c>
      <c r="E43" s="14" t="inlineStr">
        <is>
          <t>Calculate the average attribute value of all superheroes.</t>
        </is>
      </c>
      <c r="F43" s="14" t="inlineStr">
        <is>
          <t>Tính giá trị thuộc tính trung bình của tất cả các siêu anh hùng.</t>
        </is>
      </c>
      <c r="G43" s="14" t="inlineStr">
        <is>
          <t>average attribute value of all superheroes refers to AVG(attribute_value)</t>
        </is>
      </c>
      <c r="H43" s="14" t="inlineStr">
        <is>
          <t>giá trị thuộc tính trung bình của tất cả các siêu anh hùng tương ứng với AVG(attribute_value)</t>
        </is>
      </c>
      <c r="I43" s="14" t="inlineStr">
        <is>
          <t>SELECT AVG(attribute_value) FROM hero_attribute</t>
        </is>
      </c>
      <c r="J43" s="15" t="n"/>
      <c r="K43" s="15" t="n"/>
      <c r="L43" s="15" t="n"/>
      <c r="M43" s="15" t="n"/>
      <c r="N43" s="15" t="n"/>
      <c r="O43" s="15" t="n"/>
      <c r="P43" s="15" t="n"/>
    </row>
    <row r="44">
      <c r="A44" s="14" t="n">
        <v>43</v>
      </c>
      <c r="B44" s="14" t="inlineStr">
        <is>
          <t>bird-dev-00755</t>
        </is>
      </c>
      <c r="C44" s="14" t="inlineStr">
        <is>
          <t>superhero</t>
        </is>
      </c>
      <c r="D44" s="14" t="inlineStr">
        <is>
          <t>simple</t>
        </is>
      </c>
      <c r="E44" s="14" t="inlineStr">
        <is>
          <t>What is the superpower of hero ID 56?</t>
        </is>
      </c>
      <c r="F44" s="14" t="inlineStr">
        <is>
          <t>Superpower của hero có ID 56 là gì?</t>
        </is>
      </c>
      <c r="G44" s="14" t="inlineStr">
        <is>
          <t>superpower refers to hero_power</t>
        </is>
      </c>
      <c r="H44" s="14" t="inlineStr">
        <is>
          <t>superpower ám chỉ hero_power</t>
        </is>
      </c>
      <c r="I44" s="14" t="inlineStr">
        <is>
          <t>SELECT T2.power_name FROM hero_power AS T1 INNER JOIN superpower AS T2 ON T1.power_id = T2.id WHERE T1.hero_id = 56</t>
        </is>
      </c>
      <c r="J44" s="15" t="n"/>
      <c r="K44" s="15" t="n"/>
      <c r="L44" s="15" t="n"/>
      <c r="M44" s="15" t="n"/>
      <c r="N44" s="15" t="n"/>
      <c r="O44" s="15" t="n"/>
      <c r="P44" s="15" t="n"/>
    </row>
    <row r="45">
      <c r="A45" s="14" t="n">
        <v>44</v>
      </c>
      <c r="B45" s="14" t="inlineStr">
        <is>
          <t>bird-dev-00774</t>
        </is>
      </c>
      <c r="C45" s="14" t="inlineStr">
        <is>
          <t>superhero</t>
        </is>
      </c>
      <c r="D45" s="14" t="inlineStr">
        <is>
          <t>challenging</t>
        </is>
      </c>
      <c r="E45" s="14" t="inlineStr">
        <is>
          <t>Which superhero has the same eyes, hair and skin colour? Indicate the publisher of the superhero.</t>
        </is>
      </c>
      <c r="F45" s="14" t="inlineStr">
        <is>
          <t>Anh hùng nào có cùng màu mắt, tóc và da? Hãy cho biết nhà xuất bản của anh hùng đó.</t>
        </is>
      </c>
      <c r="G45" s="14" t="inlineStr">
        <is>
          <t>which superhero refers to superhero_name; the same eyes, hair and skin colour refers to hair_colour_id = skin_colour_id AND hair_colour_id = eye_colour_id; publisher refers to publisher_name;</t>
        </is>
      </c>
      <c r="H45" s="14" t="inlineStr">
        <is>
          <t>anh hùng nào tham chiếu tới superhero_name; cùng màu mắt, tóc và da tham chiếu tới hair_colour_id = skin_colour_id AND hair_colour_id = eye_colour_id; nhà xuất bản tham chiếu tới publisher_name;</t>
        </is>
      </c>
      <c r="I45" s="14" t="inlineStr">
        <is>
          <t>SELECT T1.superhero_name, T2.publisher_name FROM superhero AS T1 INNER JOIN publisher AS T2 ON T1.publisher_id = T2.id WHERE T1.eye_colour_id = T1.hair_colour_id AND T1.eye_colour_id = T1.skin_colour_id</t>
        </is>
      </c>
      <c r="J45" s="15" t="n"/>
      <c r="K45" s="15" t="n"/>
      <c r="L45" s="15" t="n"/>
      <c r="M45" s="15" t="n"/>
      <c r="N45" s="15" t="n"/>
      <c r="O45" s="15" t="n"/>
      <c r="P45" s="15" t="n"/>
    </row>
    <row r="46">
      <c r="A46" s="14" t="n">
        <v>45</v>
      </c>
      <c r="B46" s="14" t="inlineStr">
        <is>
          <t>bird-dev-00775</t>
        </is>
      </c>
      <c r="C46" s="14" t="inlineStr">
        <is>
          <t>superhero</t>
        </is>
      </c>
      <c r="D46" s="14" t="inlineStr">
        <is>
          <t>simple</t>
        </is>
      </c>
      <c r="E46" s="14" t="inlineStr">
        <is>
          <t>Which group does superhero A-Bomb belong to?</t>
        </is>
      </c>
      <c r="F46" s="14" t="inlineStr">
        <is>
          <t>A-Bomb thuộc nhóm nào?</t>
        </is>
      </c>
      <c r="G46" s="14" t="inlineStr">
        <is>
          <t>group refers to race; A-Bomb refers to superhero_name = 'A-Bomb';</t>
        </is>
      </c>
      <c r="H46" s="14" t="inlineStr">
        <is>
          <t>nhóm tương ứng với race; A-Bomb tương ứng với superhero_name = 'A-Bomb';</t>
        </is>
      </c>
      <c r="I46" s="14" t="inlineStr">
        <is>
          <t>SELECT T2.race FROM superhero AS T1 INNER JOIN race AS T2 ON T1.race_id = T2.id WHERE T1.superhero_name = 'A-Bomb'</t>
        </is>
      </c>
      <c r="J46" s="15" t="n"/>
      <c r="K46" s="15" t="n"/>
      <c r="L46" s="15" t="n"/>
      <c r="M46" s="15" t="n"/>
      <c r="N46" s="15" t="n"/>
      <c r="O46" s="15" t="n"/>
      <c r="P46" s="15" t="n"/>
    </row>
    <row r="47">
      <c r="A47" s="14" t="n">
        <v>46</v>
      </c>
      <c r="B47" s="14" t="inlineStr">
        <is>
          <t>bird-dev-00784</t>
        </is>
      </c>
      <c r="C47" s="14" t="inlineStr">
        <is>
          <t>superhero</t>
        </is>
      </c>
      <c r="D47" s="14" t="inlineStr">
        <is>
          <t>simple</t>
        </is>
      </c>
      <c r="E47" s="14" t="inlineStr">
        <is>
          <t>Provide the eye colours of the heroes whose skin colours are gold.</t>
        </is>
      </c>
      <c r="F47" s="14" t="inlineStr">
        <is>
          <t>Hãy cung cấp màu mắt của các anh hùng có màu da là vàng.</t>
        </is>
      </c>
      <c r="G47" s="14" t="inlineStr">
        <is>
          <t>skin colours are gold refers to colour.colour = 'Gold' WHERE skin_colour_id = colour.id;</t>
        </is>
      </c>
      <c r="H47" s="14" t="inlineStr">
        <is>
          <t>màu da là vàng tham chiếu tới colour.colour = 'Gold' WHERE skin_colour_id = colour.id;</t>
        </is>
      </c>
      <c r="I47" s="14" t="inlineStr">
        <is>
          <t>SELECT T2.colour FROM superhero AS T1 INNER JOIN colour AS T2 ON T1.eye_colour_id = T2.id INNER JOIN colour AS T3 ON T1.skin_colour_id = T3.id WHERE T3.colour = 'Gold'</t>
        </is>
      </c>
      <c r="J47" s="15" t="n"/>
      <c r="K47" s="15" t="n"/>
      <c r="L47" s="15" t="n"/>
      <c r="M47" s="15" t="n"/>
      <c r="N47" s="15" t="n"/>
      <c r="O47" s="15" t="n"/>
      <c r="P47" s="15" t="n"/>
    </row>
    <row r="48">
      <c r="A48" s="14" t="n">
        <v>47</v>
      </c>
      <c r="B48" s="14" t="inlineStr">
        <is>
          <t>bird-dev-00793</t>
        </is>
      </c>
      <c r="C48" s="14" t="inlineStr">
        <is>
          <t>superhero</t>
        </is>
      </c>
      <c r="D48" s="14" t="inlineStr">
        <is>
          <t>simple</t>
        </is>
      </c>
      <c r="E48" s="14" t="inlineStr">
        <is>
          <t>What is Abomination's superpower?</t>
        </is>
      </c>
      <c r="F48" s="14" t="inlineStr">
        <is>
          <t>Superpower của Abomination là gì?</t>
        </is>
      </c>
      <c r="G48" s="14" t="inlineStr">
        <is>
          <t>Abomination refers to superhero_name = 'Abomination'; superpower refers to power_name;</t>
        </is>
      </c>
      <c r="H48" s="14" t="inlineStr">
        <is>
          <t>Abomination ám chỉ superhero_name = 'Abomination'; superpower ám chỉ power_name;</t>
        </is>
      </c>
      <c r="I48" s="14" t="inlineStr">
        <is>
          <t>SELECT T3.power_name FROM superhero AS T1 INNER JOIN hero_power AS T2 ON T1.id = T2.hero_id INNER JOIN superpower AS T3 ON T2.power_id = T3.id WHERE T1.superhero_name = 'Abomination'</t>
        </is>
      </c>
      <c r="J48" s="15" t="n"/>
      <c r="K48" s="15" t="n"/>
      <c r="L48" s="15" t="n"/>
      <c r="M48" s="15" t="n"/>
      <c r="N48" s="15" t="n"/>
      <c r="O48" s="15" t="n"/>
      <c r="P48" s="15" t="n"/>
    </row>
    <row r="49">
      <c r="A49" s="14" t="n">
        <v>48</v>
      </c>
      <c r="B49" s="14" t="inlineStr">
        <is>
          <t>bird-dev-00826</t>
        </is>
      </c>
      <c r="C49" s="14" t="inlineStr">
        <is>
          <t>superhero</t>
        </is>
      </c>
      <c r="D49" s="14" t="inlineStr">
        <is>
          <t>moderate</t>
        </is>
      </c>
      <c r="E49" s="14" t="inlineStr">
        <is>
          <t>Identify the gender of the superhero who has the ability of Phoenix Force.</t>
        </is>
      </c>
      <c r="F49" s="14" t="inlineStr">
        <is>
          <t>Xác định giới tính của siêu anh hùng có khả năng Phoenix Force.</t>
        </is>
      </c>
      <c r="G49" s="14" t="inlineStr">
        <is>
          <t>ability of Phoenix Force refers to power_name = 'Phoenix Force';</t>
        </is>
      </c>
      <c r="H49" s="14" t="inlineStr">
        <is>
          <t>khả năng Phoenix Force tương ứng với power_name = 'Phoenix Force';</t>
        </is>
      </c>
      <c r="I49" s="14" t="inlineStr">
        <is>
          <t>SELECT T4.gender FROM superhero AS T1 INNER JOIN hero_power AS T2 ON T1.id = T2.hero_id INNER JOIN superpower AS T3 ON T2.power_id = T3.id INNER JOIN gender AS T4 ON T1.gender_id = T4.id WHERE T3.power_name = 'Phoenix Force'</t>
        </is>
      </c>
      <c r="J49" s="15" t="n"/>
      <c r="K49" s="15" t="n"/>
      <c r="L49" s="15" t="n"/>
      <c r="M49" s="15" t="n"/>
      <c r="N49" s="15" t="n"/>
      <c r="O49" s="15" t="n"/>
      <c r="P49" s="15" t="n"/>
    </row>
    <row r="50">
      <c r="A50" s="14" t="n">
        <v>49</v>
      </c>
      <c r="B50" s="14" t="inlineStr">
        <is>
          <t>bird-dev-00836</t>
        </is>
      </c>
      <c r="C50" s="14" t="inlineStr">
        <is>
          <t>superhero</t>
        </is>
      </c>
      <c r="D50" s="14" t="inlineStr">
        <is>
          <t>challenging</t>
        </is>
      </c>
      <c r="E50" s="14" t="inlineStr">
        <is>
          <t>Among all superheroes in Marvel Comics, identify the percentage of 'good' superheroes.</t>
        </is>
      </c>
      <c r="F50" s="14" t="inlineStr">
        <is>
          <t>Trong tất cả các siêu anh hùng ở Marvel Comics, hãy xác định tỷ lệ phần trăm của những siêu anh hùng tốt.</t>
        </is>
      </c>
      <c r="G50" s="14" t="inlineStr">
        <is>
          <t>Marvel Comics refers to publisher_name = 'Marvel Comics'; percentage = MULTIPLY(DIVIDE(SUM(alignment = 'Good' WHERE publisher_name = 'Marvel Comics'), COUNT(publisher_name = 'Marvel Comics')), 100.0); good superheroes refers to alignment = 'Good';</t>
        </is>
      </c>
      <c r="H50" s="14" t="inlineStr">
        <is>
          <t>Marvel Comics ám chỉ publisher_name = 'Marvel Comics'; phần trăm = MULTIPLY(DIVIDE(SUM(alignment = 'Good' WHERE publisher_name = 'Marvel Comics'), COUNT(publisher_name = 'Marvel Comics')), 100.0); siêu anh hùng tốt ám chỉ alignment = 'Good';</t>
        </is>
      </c>
      <c r="I50" s="14" t="inlineStr">
        <is>
          <t>SELECT CAST(COUNT(CASE WHEN T3.alignment = 'Good' THEN T1.id ELSE NULL END) AS REAL) * 100 / COUNT(T1.id) FROM superhero AS T1 INNER JOIN publisher AS T2 ON T1.publisher_id = T2.id INNER JOIN alignment AS T3 ON T1.alignment_id = T3.id WHERE T2.publisher_name = 'Marvel Comics'</t>
        </is>
      </c>
      <c r="J50" s="15" t="n"/>
      <c r="K50" s="15" t="n"/>
      <c r="L50" s="15" t="n"/>
      <c r="M50" s="15" t="n"/>
      <c r="N50" s="15" t="n"/>
      <c r="O50" s="15" t="n"/>
      <c r="P50" s="15" t="n"/>
    </row>
    <row r="51">
      <c r="A51" s="14" t="n">
        <v>50</v>
      </c>
      <c r="B51" s="14" t="inlineStr">
        <is>
          <t>bird-dev-00853</t>
        </is>
      </c>
      <c r="C51" s="14" t="inlineStr">
        <is>
          <t>formula_1</t>
        </is>
      </c>
      <c r="D51" s="14" t="inlineStr">
        <is>
          <t>moderate</t>
        </is>
      </c>
      <c r="E51" s="14" t="inlineStr">
        <is>
          <t>How many races in the year 2010 are held on grand prixs outside Asia and Europe?</t>
        </is>
      </c>
      <c r="F51" s="14" t="inlineStr">
        <is>
          <t>Có bao nhiêu chặng đua trong năm 2010 được tổ chức trên các Grand Prix ở ngoài châu Á và châu Âu?</t>
        </is>
      </c>
      <c r="G51" s="14" t="inlineStr"/>
      <c r="H51" s="14" t="inlineStr">
        <is>
          <t>(no evidence)</t>
        </is>
      </c>
      <c r="I51" s="14"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J51" s="15" t="n"/>
      <c r="K51" s="15" t="n"/>
      <c r="L51" s="15" t="n"/>
      <c r="M51" s="15" t="n"/>
      <c r="N51" s="15" t="n"/>
      <c r="O51" s="15" t="n"/>
      <c r="P51" s="15" t="n"/>
    </row>
    <row r="52">
      <c r="A52" s="14" t="n">
        <v>51</v>
      </c>
      <c r="B52" s="14" t="inlineStr">
        <is>
          <t>bird-dev-00858</t>
        </is>
      </c>
      <c r="C52" s="14" t="inlineStr">
        <is>
          <t>formula_1</t>
        </is>
      </c>
      <c r="D52" s="14" t="inlineStr">
        <is>
          <t>simple</t>
        </is>
      </c>
      <c r="E52" s="14" t="inlineStr">
        <is>
          <t>Give the coordinate position for Abu Dhabi Grand Prix.</t>
        </is>
      </c>
      <c r="F52" s="14" t="inlineStr">
        <is>
          <t>Hãy cho biết vị trí tọa độ của Abu Dhabi Grand Prix.</t>
        </is>
      </c>
      <c r="G52" s="14" t="inlineStr">
        <is>
          <t>coordinate position/location refers to lat, lng; Abu Dhabi Grand Prix refers to races.name = 'Abu Dhabi Grand Prix'</t>
        </is>
      </c>
      <c r="H52" s="14" t="inlineStr">
        <is>
          <t>vị trí tọa độ tương ứng với lat, lng; Abu Dhabi Grand Prix tương ứng với races.name = 'Abu Dhabi Grand Prix'</t>
        </is>
      </c>
      <c r="I52" s="14" t="inlineStr">
        <is>
          <t>SELECT DISTINCT T1.lat, T1.lng FROM circuits AS T1 INNER JOIN races AS T2 ON T2.circuitID = T1.circuitId WHERE T2.name = 'Abu Dhabi Grand Prix'</t>
        </is>
      </c>
      <c r="J52" s="15" t="n"/>
      <c r="K52" s="15" t="n"/>
      <c r="L52" s="15" t="n"/>
      <c r="M52" s="15" t="n"/>
      <c r="N52" s="15" t="n"/>
      <c r="O52" s="15" t="n"/>
      <c r="P52" s="15" t="n"/>
    </row>
    <row r="53">
      <c r="A53" s="14" t="n">
        <v>52</v>
      </c>
      <c r="B53" s="14" t="inlineStr">
        <is>
          <t>bird-dev-00859</t>
        </is>
      </c>
      <c r="C53" s="14" t="inlineStr">
        <is>
          <t>formula_1</t>
        </is>
      </c>
      <c r="D53" s="14" t="inlineStr">
        <is>
          <t>simple</t>
        </is>
      </c>
      <c r="E53" s="14" t="inlineStr">
        <is>
          <t>Which country is the constructor which got 1 point in the race No. 24 from?</t>
        </is>
      </c>
      <c r="F53" s="14" t="inlineStr">
        <is>
          <t>Quốc gia nào là đội đua đã ghi được 1 điểm trong chặng đua số 24?</t>
        </is>
      </c>
      <c r="G53" s="14" t="inlineStr">
        <is>
          <t>race number refers to raceId;</t>
        </is>
      </c>
      <c r="H53" s="14" t="inlineStr">
        <is>
          <t>số thứ tự chặng đua tham chiếu tới raceId;</t>
        </is>
      </c>
      <c r="I53" s="14" t="inlineStr">
        <is>
          <t>SELECT T2.nationality FROM constructorResults AS T1 INNER JOIN constructors AS T2 ON T2.constructorId = T1.constructorId WHERE T1.raceId = 24 AND T1.points = 1</t>
        </is>
      </c>
      <c r="J53" s="15" t="n"/>
      <c r="K53" s="15" t="n"/>
      <c r="L53" s="15" t="n"/>
      <c r="M53" s="15" t="n"/>
      <c r="N53" s="15" t="n"/>
      <c r="O53" s="15" t="n"/>
      <c r="P53" s="15" t="n"/>
    </row>
    <row r="54">
      <c r="A54" s="14" t="n">
        <v>53</v>
      </c>
      <c r="B54" s="14" t="inlineStr">
        <is>
          <t>bird-dev-00867</t>
        </is>
      </c>
      <c r="C54" s="14" t="inlineStr">
        <is>
          <t>formula_1</t>
        </is>
      </c>
      <c r="D54" s="14" t="inlineStr">
        <is>
          <t>moderate</t>
        </is>
      </c>
      <c r="E54" s="14" t="inlineStr">
        <is>
          <t>Who was the player that got the lap time of 0:01:27 in the race No. 161? Show his introduction website.</t>
        </is>
      </c>
      <c r="F54" s="14" t="inlineStr">
        <is>
          <t>Ai là người chơi có thời gian vòng là 0:01:27 trong chặng đua số 161? Hãy cho biết trang giới thiệu của anh ấy.</t>
        </is>
      </c>
      <c r="G54" s="14" t="inlineStr">
        <is>
          <t>player and driver are synonyms; the lap time of 0:0M:SS refers to lapTime.time LIKE 'M:SS%';race number refers to raceId; introduction website of the drivers refers to url;</t>
        </is>
      </c>
      <c r="H54" s="14" t="inlineStr">
        <is>
          <t>player và driver là các từ đồng nghĩa; thời gian vòng 0:0M:SS tương ứng với lapTime.time LIKE 'M:SS%'; số chặng đua tham chiếu tới raceId; trang giới thiệu của các driver tham chiếu tới url;</t>
        </is>
      </c>
      <c r="I54" s="14" t="inlineStr">
        <is>
          <t>SELECT DISTINCT T2.forename, T2.surname, T2.url FROM lapTimes AS T1 INNER JOIN drivers AS T2 ON T2.driverId = T1.driverId WHERE T1.raceId = 161 AND T1.time LIKE '1:27%'</t>
        </is>
      </c>
      <c r="J54" s="15" t="n"/>
      <c r="K54" s="15" t="n"/>
      <c r="L54" s="15" t="n"/>
      <c r="M54" s="15" t="n"/>
      <c r="N54" s="15" t="n"/>
      <c r="O54" s="15" t="n"/>
      <c r="P54" s="15" t="n"/>
    </row>
    <row r="55">
      <c r="A55" s="14" t="n">
        <v>54</v>
      </c>
      <c r="B55" s="14" t="inlineStr">
        <is>
          <t>bird-dev-00895</t>
        </is>
      </c>
      <c r="C55" s="14" t="inlineStr">
        <is>
          <t>formula_1</t>
        </is>
      </c>
      <c r="D55" s="14" t="inlineStr">
        <is>
          <t>moderate</t>
        </is>
      </c>
      <c r="E55" s="14" t="inlineStr">
        <is>
          <t>What is the best lap time recorded? List the driver and race with such recorded lap time.</t>
        </is>
      </c>
      <c r="F55" s="14" t="inlineStr">
        <is>
          <t>Thời gian vòng đua tốt nhất được ghi nhận là gì? Hãy liệt kê tài xế và chặng đua có thời gian vòng đua như vậy.</t>
        </is>
      </c>
      <c r="G55" s="14" t="inlineStr">
        <is>
          <t>the best lap time refers to min(milliseconds); List the driver refers to drivers.forename and drivers.surname; List the race refers to races.name</t>
        </is>
      </c>
      <c r="H55" s="14" t="inlineStr">
        <is>
          <t>thời gian vòng đua tốt nhất tham chiếu tới min(milliseconds); Liệt kê tài xế tham chiếu tới drivers.forename và drivers.surname; Liệt kê chặng đua tham chiếu tới races.name</t>
        </is>
      </c>
      <c r="I55" s="14" t="inlineStr">
        <is>
          <t>SELECT T2.milliseconds, T1.forename, T1.surname, T3.name FROM drivers AS T1 INNER JOIN lapTimes AS T2 ON T1.driverId = T2.driverId INNER JOIN races AS T3 ON T2.raceId = T3.raceId ORDER BY T2.milliseconds ASC LIMIT 1</t>
        </is>
      </c>
      <c r="J55" s="15" t="n"/>
      <c r="K55" s="15" t="n"/>
      <c r="L55" s="15" t="n"/>
      <c r="M55" s="15" t="n"/>
      <c r="N55" s="15" t="n"/>
      <c r="O55" s="15" t="n"/>
      <c r="P55" s="15" t="n"/>
    </row>
    <row r="56">
      <c r="A56" s="14" t="n">
        <v>55</v>
      </c>
      <c r="B56" s="14" t="inlineStr">
        <is>
          <t>bird-dev-00900</t>
        </is>
      </c>
      <c r="C56" s="14" t="inlineStr">
        <is>
          <t>formula_1</t>
        </is>
      </c>
      <c r="D56" s="14" t="inlineStr">
        <is>
          <t>moderate</t>
        </is>
      </c>
      <c r="E56" s="14" t="inlineStr">
        <is>
          <t>List circuits which host 4 f1 races from year 1990 to 2000.</t>
        </is>
      </c>
      <c r="F56" s="14" t="inlineStr">
        <is>
          <t>Liệt kê các đường đua (circuits) tổ chức 4 chặng đua F1 trong khoảng từ năm 1990 đến năm 2000.</t>
        </is>
      </c>
      <c r="G56" s="14" t="inlineStr">
        <is>
          <t>from year 1990 to 2000 refers to year(date) between 1990 and 2000;</t>
        </is>
      </c>
      <c r="H56" s="14" t="inlineStr">
        <is>
          <t>từ năm 1990 đến năm 2000 ám chỉ year(date) nằm trong khoảng từ 1990 đến 2000;</t>
        </is>
      </c>
      <c r="I56" s="14" t="inlineStr">
        <is>
          <t>SELECT DISTINCT T1.name FROM circuits AS T1 INNER JOIN races AS T2 ON T2.circuitID = T1.circuitId WHERE STRFTIME('%Y', T2.date) BETWEEN '1990' AND '2000' GROUP BY T1.name HAVING COUNT(T2.raceId) = 4</t>
        </is>
      </c>
      <c r="J56" s="15" t="n"/>
      <c r="K56" s="15" t="n"/>
      <c r="L56" s="15" t="n"/>
      <c r="M56" s="15" t="n"/>
      <c r="N56" s="15" t="n"/>
      <c r="O56" s="15" t="n"/>
      <c r="P56" s="15" t="n"/>
    </row>
    <row r="57">
      <c r="A57" s="14" t="n">
        <v>56</v>
      </c>
      <c r="B57" s="14" t="inlineStr">
        <is>
          <t>bird-dev-00902</t>
        </is>
      </c>
      <c r="C57" s="14" t="inlineStr">
        <is>
          <t>formula_1</t>
        </is>
      </c>
      <c r="D57" s="14" t="inlineStr">
        <is>
          <t>simple</t>
        </is>
      </c>
      <c r="E57" s="14" t="inlineStr">
        <is>
          <t>Name the races along with its circuit name and location for f1 races hosted in September 2005.</t>
        </is>
      </c>
      <c r="F57" s="14" t="inlineStr">
        <is>
          <t>Hãy nêu các chặng đua F1 cùng tên đường đua và địa điểm cho các chặng đua được tổ chức vào tháng 9 năm 2005.</t>
        </is>
      </c>
      <c r="G57" s="14" t="inlineStr">
        <is>
          <t>in September 2005 refers to MONTH(date) = 9 and YEAR(date) = 2005</t>
        </is>
      </c>
      <c r="H57" s="14" t="inlineStr">
        <is>
          <t>vào tháng 9 năm 2005 tương ứng với MONTH(date) = 9 và YEAR(date) = 2005</t>
        </is>
      </c>
      <c r="I57" s="14" t="inlineStr">
        <is>
          <t>SELECT DISTINCT T2.name, T1.name, T1.location FROM circuits AS T1 INNER JOIN races AS T2 ON T2.circuitID = T1.circuitId WHERE T2.year = 2005 AND STRFTIME('%m', T2.date) = '09'</t>
        </is>
      </c>
      <c r="J57" s="15" t="n"/>
      <c r="K57" s="15" t="n"/>
      <c r="L57" s="15" t="n"/>
      <c r="M57" s="15" t="n"/>
      <c r="N57" s="15" t="n"/>
      <c r="O57" s="15" t="n"/>
      <c r="P57" s="15" t="n"/>
    </row>
    <row r="58">
      <c r="A58" s="14" t="n">
        <v>57</v>
      </c>
      <c r="B58" s="14" t="inlineStr">
        <is>
          <t>bird-dev-00910</t>
        </is>
      </c>
      <c r="C58" s="14" t="inlineStr">
        <is>
          <t>formula_1</t>
        </is>
      </c>
      <c r="D58" s="14" t="inlineStr">
        <is>
          <t>moderate</t>
        </is>
      </c>
      <c r="E58" s="14" t="inlineStr">
        <is>
          <t>Among all European Grand Prix races, what is the percentage of the races were hosted in Germany?</t>
        </is>
      </c>
      <c r="F58" s="14" t="inlineStr">
        <is>
          <t>Trong tất cả các chặng đua European Grand Prix, tỷ lệ phần trăm các chặng đua được tổ chức tại Đức là bao nhiêu?</t>
        </is>
      </c>
      <c r="G58" s="14" t="inlineStr">
        <is>
          <t>European Grand Prix races refers to races.name = 'European Grand Prix';percentage = divide(COUNT(races where country = Germany and name = 'Europearn Grand Prix'),COUNT(races where name = 'Europearn Grand Prix'))*100</t>
        </is>
      </c>
      <c r="H58" s="14" t="inlineStr">
        <is>
          <t>European Grand Prix races tham chiếu tới races.name = 'European Grand Prix'; percentage = divide(COUNT(races where country = Germany and name = 'Europearn Grand Prix'),COUNT(races where name = 'Europearn Grand Prix'))*100</t>
        </is>
      </c>
      <c r="I58" s="14" t="inlineStr">
        <is>
          <t>SELECT CAST(COUNT(CASE WHEN T1.country = 'Germany' THEN T2.circuitID END) AS REAL) * 100 / COUNT(T2.circuitId) FROM circuits AS T1 INNER JOIN races AS T2 ON T2.circuitID = T1.circuitId WHERE T2.name = 'European Grand Prix'</t>
        </is>
      </c>
      <c r="J58" s="15" t="n"/>
      <c r="K58" s="15" t="n"/>
      <c r="L58" s="15" t="n"/>
      <c r="M58" s="15" t="n"/>
      <c r="N58" s="15" t="n"/>
      <c r="O58" s="15" t="n"/>
      <c r="P58" s="15" t="n"/>
    </row>
    <row r="59">
      <c r="A59" s="14" t="n">
        <v>58</v>
      </c>
      <c r="B59" s="14" t="inlineStr">
        <is>
          <t>bird-dev-00912</t>
        </is>
      </c>
      <c r="C59" s="14" t="inlineStr">
        <is>
          <t>formula_1</t>
        </is>
      </c>
      <c r="D59" s="14" t="inlineStr">
        <is>
          <t>simple</t>
        </is>
      </c>
      <c r="E59" s="14" t="inlineStr">
        <is>
          <t>Which of these circuits is located at a higher latitude, Silverstone Circuit, Hockenheimring or Hungaroring?</t>
        </is>
      </c>
      <c r="F59" s="14" t="inlineStr">
        <is>
          <t>Trong số các đường đua này, đường đua nào nằm ở vĩ độ cao hơn: Silverstone Circuit, Hockenheimring hay Hungaroring?</t>
        </is>
      </c>
      <c r="G59" s="14" t="inlineStr">
        <is>
          <t>higher latitude refers to max(lat)</t>
        </is>
      </c>
      <c r="H59" s="14" t="inlineStr">
        <is>
          <t>vĩ độ cao hơn ám chỉ max(lat)</t>
        </is>
      </c>
      <c r="I59" s="14" t="inlineStr">
        <is>
          <t>SELECT name FROM circuits WHERE name IN ('Silverstone Circuit', 'Hockenheimring', 'Hungaroring') ORDER BY lat DESC LIMIT 1</t>
        </is>
      </c>
      <c r="J59" s="15" t="n"/>
      <c r="K59" s="15" t="n"/>
      <c r="L59" s="15" t="n"/>
      <c r="M59" s="15" t="n"/>
      <c r="N59" s="15" t="n"/>
      <c r="O59" s="15" t="n"/>
      <c r="P59" s="15" t="n"/>
    </row>
    <row r="60">
      <c r="A60" s="14" t="n">
        <v>59</v>
      </c>
      <c r="B60" s="14" t="inlineStr">
        <is>
          <t>bird-dev-00915</t>
        </is>
      </c>
      <c r="C60" s="14" t="inlineStr">
        <is>
          <t>formula_1</t>
        </is>
      </c>
      <c r="D60" s="14" t="inlineStr">
        <is>
          <t>simple</t>
        </is>
      </c>
      <c r="E60" s="14" t="inlineStr">
        <is>
          <t>How many drivers don't have a code?</t>
        </is>
      </c>
      <c r="F60" s="14" t="inlineStr">
        <is>
          <t>Có bao nhiêu tay đua không có code?</t>
        </is>
      </c>
      <c r="G60" s="14" t="inlineStr">
        <is>
          <t>don't have a code refers to code is null</t>
        </is>
      </c>
      <c r="H60" s="14" t="inlineStr">
        <is>
          <t>không có code ám chỉ code is null</t>
        </is>
      </c>
      <c r="I60" s="14" t="inlineStr">
        <is>
          <t>SELECT COUNT(driverId) - COUNT(CASE WHEN code IS NOT NULL THEN code END) FROM drivers</t>
        </is>
      </c>
      <c r="J60" s="15" t="n"/>
      <c r="K60" s="15" t="n"/>
      <c r="L60" s="15" t="n"/>
      <c r="M60" s="15" t="n"/>
      <c r="N60" s="15" t="n"/>
      <c r="O60" s="15" t="n"/>
      <c r="P60" s="15" t="n"/>
    </row>
    <row r="61">
      <c r="A61" s="14" t="n">
        <v>60</v>
      </c>
      <c r="B61" s="14" t="inlineStr">
        <is>
          <t>bird-dev-00920</t>
        </is>
      </c>
      <c r="C61" s="14" t="inlineStr">
        <is>
          <t>formula_1</t>
        </is>
      </c>
      <c r="D61" s="14" t="inlineStr">
        <is>
          <t>simple</t>
        </is>
      </c>
      <c r="E61" s="14" t="inlineStr">
        <is>
          <t>Which circuit did the 2009 Spanish Grand Prix use?</t>
        </is>
      </c>
      <c r="F61" s="14" t="inlineStr">
        <is>
          <t>Trong năm 2009, chặng đua Spanish Grand Prix đã sử dụng đường đua nào?</t>
        </is>
      </c>
      <c r="G61" s="14" t="inlineStr"/>
      <c r="H61" s="14" t="inlineStr">
        <is>
          <t>(no evidence)</t>
        </is>
      </c>
      <c r="I61" s="14" t="inlineStr">
        <is>
          <t>SELECT T1.name FROM circuits AS T1 INNER JOIN races AS T2 ON T2.circuitID = T1.circuitId WHERE T2.year = 2009 AND T2.name = 'Spanish Grand Prix'</t>
        </is>
      </c>
      <c r="J61" s="15" t="n"/>
      <c r="K61" s="15" t="n"/>
      <c r="L61" s="15" t="n"/>
      <c r="M61" s="15" t="n"/>
      <c r="N61" s="15" t="n"/>
      <c r="O61" s="15" t="n"/>
      <c r="P61" s="15" t="n"/>
    </row>
    <row r="62">
      <c r="A62" s="14" t="n">
        <v>61</v>
      </c>
      <c r="B62" s="14" t="inlineStr">
        <is>
          <t>bird-dev-00931</t>
        </is>
      </c>
      <c r="C62" s="14" t="inlineStr">
        <is>
          <t>formula_1</t>
        </is>
      </c>
      <c r="D62" s="14" t="inlineStr">
        <is>
          <t>simple</t>
        </is>
      </c>
      <c r="E62" s="14" t="inlineStr">
        <is>
          <t>In which Formula_1 race did Lewis Hamilton rank the highest?</t>
        </is>
      </c>
      <c r="F62" s="14" t="inlineStr">
        <is>
          <t>Trong chặng đua F1 nào, Lewis Hamilton có hạng cao nhất?</t>
        </is>
      </c>
      <c r="G62" s="14" t="inlineStr">
        <is>
          <t>rank the highest refers to min(rank); Lewis Hamilton refers to the full name of the driver; Full name of the driver refers to drivers.forename and drivers.surname;</t>
        </is>
      </c>
      <c r="H62" s="14" t="inlineStr">
        <is>
          <t>hạng cao nhất tương ứng với min(rank); Lewis Hamilton là tên đầy đủ của người lái xe; tên đầy đủ của người lái xe tương ứng với drivers.forename và drivers.surname;</t>
        </is>
      </c>
      <c r="I62" s="14" t="inlineStr">
        <is>
          <t>SELECT name FROM races WHERE raceId IN ( SELECT raceId FROM results WHERE rank = 1 AND driverId = ( SELECT driverId FROM drivers WHERE forename = 'Lewis' AND surname = 'Hamilton' ) )</t>
        </is>
      </c>
      <c r="J62" s="15" t="n"/>
      <c r="K62" s="15" t="n"/>
      <c r="L62" s="15" t="n"/>
      <c r="M62" s="15" t="n"/>
      <c r="N62" s="15" t="n"/>
      <c r="O62" s="15" t="n"/>
      <c r="P62" s="15" t="n"/>
    </row>
    <row r="63">
      <c r="A63" s="14" t="n">
        <v>62</v>
      </c>
      <c r="B63" s="14" t="inlineStr">
        <is>
          <t>bird-dev-00952</t>
        </is>
      </c>
      <c r="C63" s="14" t="inlineStr">
        <is>
          <t>formula_1</t>
        </is>
      </c>
      <c r="D63" s="14" t="inlineStr">
        <is>
          <t>simple</t>
        </is>
      </c>
      <c r="E63" s="14" t="inlineStr">
        <is>
          <t>How many Japanese constructors have 0 points in 2 races?</t>
        </is>
      </c>
      <c r="F63" s="14" t="inlineStr">
        <is>
          <t>Có bao nhiêu đội đua Nhật Bản có 0 điểm trong 2 chặng đua?</t>
        </is>
      </c>
      <c r="G63" s="14" t="inlineStr">
        <is>
          <t>2 races refers to COUNT(raceID) = 2; Japanese refers to constructors.nationality = 'Japanese';</t>
        </is>
      </c>
      <c r="H63" s="14" t="inlineStr">
        <is>
          <t>2 chặng đua tương ứng với COUNT(raceID) = 2; Nhật Bản tương ứng với constructors.nationality = 'Japanese';</t>
        </is>
      </c>
      <c r="I63" s="14" t="inlineStr">
        <is>
          <t>SELECT COUNT(T1.raceId) FROM constructorStandings AS T1 INNER JOIN constructors AS T2 on T1.constructorId = T2.constructorId WHERE T1.points = 0 AND T2.nationality = 'Japanese' GROUP BY T1.constructorId HAVING COUNT(raceId) = 2</t>
        </is>
      </c>
      <c r="J63" s="15" t="n"/>
      <c r="K63" s="15" t="n"/>
      <c r="L63" s="15" t="n"/>
      <c r="M63" s="15" t="n"/>
      <c r="N63" s="15" t="n"/>
      <c r="O63" s="15" t="n"/>
      <c r="P63" s="15" t="n"/>
    </row>
    <row r="64">
      <c r="A64" s="14" t="n">
        <v>63</v>
      </c>
      <c r="B64" s="14" t="inlineStr">
        <is>
          <t>bird-dev-00959</t>
        </is>
      </c>
      <c r="C64" s="14" t="inlineStr">
        <is>
          <t>formula_1</t>
        </is>
      </c>
      <c r="D64" s="14" t="inlineStr">
        <is>
          <t>moderate</t>
        </is>
      </c>
      <c r="E64" s="14" t="inlineStr">
        <is>
          <t>Which driver has the fastest lap time? Please give their forenames and surnames.</t>
        </is>
      </c>
      <c r="F64" s="14" t="inlineStr">
        <is>
          <t>Người lái xe nào có vòng đua nhanh nhất? Vui lòng cho biết tên và họ của người đó.</t>
        </is>
      </c>
      <c r="G64" s="14" t="inlineStr"/>
      <c r="H64" s="14" t="inlineStr">
        <is>
          <t>(no evidence)</t>
        </is>
      </c>
      <c r="I64" s="14" t="inlineStr">
        <is>
          <t>SELECT T2.forename, T2.surname, T1.fastestLapTime FROM results AS T1 INNER JOIN drivers AS T2 on T1.driverId = T2.driverId WHERE T1.fastestLapTime IS NOT NULL ORDER BY T1.fastestLapTime ASC LIMIT 1</t>
        </is>
      </c>
      <c r="J64" s="15" t="n"/>
      <c r="K64" s="15" t="n"/>
      <c r="L64" s="15" t="n"/>
      <c r="M64" s="15" t="n"/>
      <c r="N64" s="15" t="n"/>
      <c r="O64" s="15" t="n"/>
      <c r="P64" s="15" t="n"/>
    </row>
    <row r="65">
      <c r="A65" s="14" t="n">
        <v>64</v>
      </c>
      <c r="B65" s="14" t="inlineStr">
        <is>
          <t>bird-dev-00969</t>
        </is>
      </c>
      <c r="C65" s="14" t="inlineStr">
        <is>
          <t>formula_1</t>
        </is>
      </c>
      <c r="D65" s="14" t="inlineStr">
        <is>
          <t>simple</t>
        </is>
      </c>
      <c r="E65" s="14" t="inlineStr">
        <is>
          <t>What is reference name of Robert Kubica?</t>
        </is>
      </c>
      <c r="F65" s="14" t="inlineStr">
        <is>
          <t>Tên tham chiếu của Robert Kubica là gì?</t>
        </is>
      </c>
      <c r="G65" s="14" t="inlineStr">
        <is>
          <t>reference name refers to driverRef;</t>
        </is>
      </c>
      <c r="H65" s="14" t="inlineStr">
        <is>
          <t>tên tham chiếu tương ứng với driverRef;</t>
        </is>
      </c>
      <c r="I65" s="14" t="inlineStr">
        <is>
          <t>SELECT driverRef FROM drivers WHERE forename = 'Robert' AND surname = 'Kubica'</t>
        </is>
      </c>
      <c r="J65" s="15" t="n"/>
      <c r="K65" s="15" t="n"/>
      <c r="L65" s="15" t="n"/>
      <c r="M65" s="15" t="n"/>
      <c r="N65" s="15" t="n"/>
      <c r="O65" s="15" t="n"/>
      <c r="P65" s="15" t="n"/>
    </row>
    <row r="66">
      <c r="A66" s="14" t="n">
        <v>65</v>
      </c>
      <c r="B66" s="14" t="inlineStr">
        <is>
          <t>bird-dev-00981</t>
        </is>
      </c>
      <c r="C66" s="14" t="inlineStr">
        <is>
          <t>formula_1</t>
        </is>
      </c>
      <c r="D66" s="14" t="inlineStr">
        <is>
          <t>moderate</t>
        </is>
      </c>
      <c r="E66" s="14" t="inlineStr">
        <is>
          <t>List the reference name of the drivers who passed the second qualifying lap during race no. 23. Indicate their nationality and birthday.</t>
        </is>
      </c>
      <c r="F66" s="14" t="inlineStr">
        <is>
          <t>Liệt kê tên tham chiếu của các tay đua đã vượt qua vòng đua thứ hai trong chặng đua số 23. Ghi nhận quốc tịch và ngày sinh của họ.</t>
        </is>
      </c>
      <c r="G66" s="14" t="inlineStr">
        <is>
          <t>passed the second qualifying lap refers to q2 is not null; birthday refers to dob; reference name of drivers refers to driverRef; race no. refers to raceId;</t>
        </is>
      </c>
      <c r="H66" s="14" t="inlineStr">
        <is>
          <t>vượt qua vòng đua thứ hai tương đương với q2 is not null; ngày sinh tương đương với dob; tên tham chiếu của các tay đua tương đương với driverRef; chặng đua số tương đương với raceId;</t>
        </is>
      </c>
      <c r="I66" s="14" t="inlineStr">
        <is>
          <t>SELECT T2.driverRef, T2.nationality, T2.dob FROM qualifying AS T1 INNER JOIN drivers AS T2 on T1.driverId = T2.driverId WHERE T1.raceId = 23 AND T1.q2 IS NOT NULL</t>
        </is>
      </c>
      <c r="J66" s="15" t="n"/>
      <c r="K66" s="15" t="n"/>
      <c r="L66" s="15" t="n"/>
      <c r="M66" s="15" t="n"/>
      <c r="N66" s="15" t="n"/>
      <c r="O66" s="15" t="n"/>
      <c r="P66" s="15" t="n"/>
    </row>
    <row r="67">
      <c r="A67" s="14" t="n">
        <v>66</v>
      </c>
      <c r="B67" s="14" t="inlineStr">
        <is>
          <t>bird-dev-00992</t>
        </is>
      </c>
      <c r="C67" s="14" t="inlineStr">
        <is>
          <t>formula_1</t>
        </is>
      </c>
      <c r="D67" s="14" t="inlineStr">
        <is>
          <t>simple</t>
        </is>
      </c>
      <c r="E67" s="14" t="inlineStr">
        <is>
          <t>What is the full name and date of birth of Austrian drivers born between 1981 and 1991?</t>
        </is>
      </c>
      <c r="F67" s="14" t="inlineStr">
        <is>
          <t>Tên đầy đủ và ngày sinh của các tay đua người Áo sinh ra trong khoảng từ 1981 đến 1991 là gì?</t>
        </is>
      </c>
      <c r="G67" s="14" t="inlineStr">
        <is>
          <t>Full name refers to forname, surname; Date of birth refers to dob; year(dob) BETWEEN '1981' AND '1991'; Austrian is a nationality</t>
        </is>
      </c>
      <c r="H67" s="14" t="inlineStr">
        <is>
          <t>Tên đầy đủ tham chiếu tới forname, surname; Ngày sinh tham chiếu tới dob; year(dob) BETWEEN '1981' AND '1991'; Austrian là nationality</t>
        </is>
      </c>
      <c r="I67" s="14" t="inlineStr">
        <is>
          <t>SELECT forename, surname, dob FROM drivers WHERE nationality = 'Austrian' AND STRFTIME('%Y', dob) BETWEEN '1981' AND '1991'</t>
        </is>
      </c>
      <c r="J67" s="15" t="n"/>
      <c r="K67" s="15" t="n"/>
      <c r="L67" s="15" t="n"/>
      <c r="M67" s="15" t="n"/>
      <c r="N67" s="15" t="n"/>
      <c r="O67" s="15" t="n"/>
      <c r="P67" s="15" t="n"/>
    </row>
    <row r="68">
      <c r="A68" s="14" t="n">
        <v>67</v>
      </c>
      <c r="B68" s="14" t="inlineStr">
        <is>
          <t>bird-dev-01014</t>
        </is>
      </c>
      <c r="C68" s="14" t="inlineStr">
        <is>
          <t>formula_1</t>
        </is>
      </c>
      <c r="D68" s="14" t="inlineStr">
        <is>
          <t>simple</t>
        </is>
      </c>
      <c r="E68" s="14" t="inlineStr">
        <is>
          <t>What is the lap record for the Austrian Grand Prix Circuit?</t>
        </is>
      </c>
      <c r="F68" s="14" t="inlineStr">
        <is>
          <t>Kỷ lục vòng đua cho đường đua Austrian Grand Prix là gì?</t>
        </is>
      </c>
      <c r="G68" s="14" t="inlineStr">
        <is>
          <t>lap record means the fastest time recorded which refers to time</t>
        </is>
      </c>
      <c r="H68" s="14" t="inlineStr">
        <is>
          <t>kỷ lục vòng đua ám chỉ đến thời gian nhanh nhất được ghi nhận, tương ứng với cột time.</t>
        </is>
      </c>
      <c r="I68" s="1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J68" s="15" t="n"/>
      <c r="K68" s="15" t="n"/>
      <c r="L68" s="15" t="n"/>
      <c r="M68" s="15" t="n"/>
      <c r="N68" s="15" t="n"/>
      <c r="O68" s="15" t="n"/>
      <c r="P68" s="15" t="n"/>
    </row>
    <row r="69">
      <c r="A69" s="14" t="n">
        <v>68</v>
      </c>
      <c r="B69" s="14" t="inlineStr">
        <is>
          <t>bird-dev-01016</t>
        </is>
      </c>
      <c r="C69" s="14" t="inlineStr">
        <is>
          <t>formula_1</t>
        </is>
      </c>
      <c r="D69" s="14" t="inlineStr">
        <is>
          <t>moderate</t>
        </is>
      </c>
      <c r="E69" s="14" t="inlineStr">
        <is>
          <t>In which Formula_1 race was the lap record for the Austrian Grand Prix Circuit set?</t>
        </is>
      </c>
      <c r="F69" s="14" t="inlineStr">
        <is>
          <t>LapTime, INSTR(T1.FastestLapTime, ':') + 1, INSTR(T1.FastestLapTime, '.') - INSTR(T1.FastestLapTime, ':') - 1) AS REAL)) + (CAST(SUBSTR(T1.FastestLapTime, INSTR(T1.FastestLapTime, '.') + 1) AS REAL) / 1000) = T4.min_time_in_seconds WHERE T1.raceId = T2.raceId</t>
        </is>
      </c>
      <c r="G69" s="14" t="inlineStr">
        <is>
          <t>lap record means the fastest time recorded which refers to time</t>
        </is>
      </c>
      <c r="H69" s="14" t="inlineStr">
        <is>
          <t>English question: Which circuit has the shortest lap time in the Austrian Grand Prix?</t>
        </is>
      </c>
      <c r="I69" s="14"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J69" s="15" t="n"/>
      <c r="K69" s="15" t="n"/>
      <c r="L69" s="15" t="n"/>
      <c r="M69" s="15" t="n"/>
      <c r="N69" s="15" t="n"/>
      <c r="O69" s="15" t="n"/>
      <c r="P69" s="15" t="n"/>
    </row>
    <row r="70">
      <c r="A70" s="14" t="n">
        <v>69</v>
      </c>
      <c r="B70" s="14" t="inlineStr">
        <is>
          <t>bird-dev-01020</t>
        </is>
      </c>
      <c r="C70" s="14" t="inlineStr">
        <is>
          <t>formula_1</t>
        </is>
      </c>
      <c r="D70" s="14" t="inlineStr">
        <is>
          <t>moderate</t>
        </is>
      </c>
      <c r="E70" s="14" t="inlineStr">
        <is>
          <t>What is the average lap time in milliseconds of all the lap records set on the various circuits in Italy?</t>
        </is>
      </c>
      <c r="F70" s="14" t="inlineStr">
        <is>
          <t>Thời gian vòng đua trung bình tính bằng millisecond của tất cả các bản ghi vòng đua được thiết lập trên các đường đua ở Italy là bao nhiêu?</t>
        </is>
      </c>
      <c r="G70" s="14" t="inlineStr">
        <is>
          <t>average = AVG(milliseconds)</t>
        </is>
      </c>
      <c r="H70" s="14" t="inlineStr">
        <is>
          <t>thời gian trung bình = AVG(milliseconds)</t>
        </is>
      </c>
      <c r="I70" s="14" t="inlineStr">
        <is>
          <t>SELECT CAST(SUM(T1.milliseconds) AS REAL) / COUNT(T1.lap) FROM lapTimes AS T1 INNER JOIN races AS T2 on T1.raceId = T2.raceId INNER JOIN circuits AS T3 on T2.circuitId = T3.circuitId WHERE T3.country = 'Italy'</t>
        </is>
      </c>
      <c r="J70" s="15" t="n"/>
      <c r="K70" s="15" t="n"/>
      <c r="L70" s="15" t="n"/>
      <c r="M70" s="15" t="n"/>
      <c r="N70" s="15" t="n"/>
      <c r="O70" s="15" t="n"/>
      <c r="P70" s="15" t="n"/>
    </row>
    <row r="71">
      <c r="A71" s="14" t="n">
        <v>70</v>
      </c>
      <c r="B71" s="14" t="inlineStr">
        <is>
          <t>bird-dev-01051</t>
        </is>
      </c>
      <c r="C71" s="14" t="inlineStr">
        <is>
          <t>european_football_2</t>
        </is>
      </c>
      <c r="D71" s="14" t="inlineStr">
        <is>
          <t>simple</t>
        </is>
      </c>
      <c r="E71" s="14" t="inlineStr">
        <is>
          <t>What is the preferred foot when attacking of the youngest football player?</t>
        </is>
      </c>
      <c r="F71" s="14" t="inlineStr">
        <is>
          <t>Cầu thủ bóng đá trẻ tuổi nhất có chân thuận khi tấn công là gì?</t>
        </is>
      </c>
      <c r="G71" s="14" t="inlineStr">
        <is>
          <t>preferred foot when attacking refers to preferred_foot; youngest football player refers to latest birthday;</t>
        </is>
      </c>
      <c r="H71" s="14" t="inlineStr">
        <is>
          <t>chân thuận khi tấn công tham chiếu tới preferred_foot; cầu thủ bóng đá trẻ tuổi nhất tham chiếu tới latest birthday;</t>
        </is>
      </c>
      <c r="I71" s="14" t="inlineStr">
        <is>
          <t>SELECT t2.preferred_foot FROM Player AS t1 INNER JOIN Player_Attributes AS t2 ON t1.player_api_id = t2.player_api_id ORDER BY t1.birthday DESC LIMIT 1</t>
        </is>
      </c>
      <c r="J71" s="15" t="n"/>
      <c r="K71" s="15" t="n"/>
      <c r="L71" s="15" t="n"/>
      <c r="M71" s="15" t="n"/>
      <c r="N71" s="15" t="n"/>
      <c r="O71" s="15" t="n"/>
      <c r="P71" s="15" t="n"/>
    </row>
    <row r="72">
      <c r="A72" s="14" t="n">
        <v>71</v>
      </c>
      <c r="B72" s="14" t="inlineStr">
        <is>
          <t>bird-dev-01057</t>
        </is>
      </c>
      <c r="C72" s="14" t="inlineStr">
        <is>
          <t>european_football_2</t>
        </is>
      </c>
      <c r="D72" s="14" t="inlineStr">
        <is>
          <t>simple</t>
        </is>
      </c>
      <c r="E72" s="14" t="inlineStr">
        <is>
          <t>What is the name of the football league in the country of Netherlands?</t>
        </is>
      </c>
      <c r="F72" s="14" t="inlineStr">
        <is>
          <t>Tên giải bóng đá ở quốc gia Netherlands là gì?</t>
        </is>
      </c>
      <c r="G72" s="14" t="inlineStr">
        <is>
          <t>name of the football league refers to League.name;</t>
        </is>
      </c>
      <c r="H72" s="14" t="inlineStr">
        <is>
          <t>tên giải bóng đá tham chiếu tới League.name;</t>
        </is>
      </c>
      <c r="I72" s="14" t="inlineStr">
        <is>
          <t>SELECT t2.name FROM Country AS t1 INNER JOIN League AS t2 ON t1.id = t2.country_id WHERE t1.name = 'Netherlands'</t>
        </is>
      </c>
      <c r="J72" s="15" t="n"/>
      <c r="K72" s="15" t="n"/>
      <c r="L72" s="15" t="n"/>
      <c r="M72" s="15" t="n"/>
      <c r="N72" s="15" t="n"/>
      <c r="O72" s="15" t="n"/>
      <c r="P72" s="15" t="n"/>
    </row>
    <row r="73">
      <c r="A73" s="14" t="n">
        <v>72</v>
      </c>
      <c r="B73" s="14" t="inlineStr">
        <is>
          <t>bird-dev-01092</t>
        </is>
      </c>
      <c r="C73" s="14" t="inlineStr">
        <is>
          <t>european_football_2</t>
        </is>
      </c>
      <c r="D73" s="14" t="inlineStr">
        <is>
          <t>moderate</t>
        </is>
      </c>
      <c r="E73" s="14" t="inlineStr">
        <is>
          <t>How many matches were held in the Belgium Jupiler League in April, 2009?</t>
        </is>
      </c>
      <c r="F73" s="14" t="inlineStr">
        <is>
          <t>Có bao nhiêu trận đấu đã được tổ chức trong giải Belgium Jupiler League vào tháng 4 năm 2009?</t>
        </is>
      </c>
      <c r="G73" s="14" t="inlineStr">
        <is>
          <t>Belgium Jupiler League refers to League.name = 'Belgium Jupiler League'; in April, 2009 refers to SUBSTR(`date`, 1, 7);</t>
        </is>
      </c>
      <c r="H73" s="14" t="inlineStr">
        <is>
          <t>Belgium Jupiler League ám chỉ đến League.name = 'Belgium Jupiler League'; vào tháng 4 năm 2009 ám chỉ đến SUBSTR(`date`, 1, 7);</t>
        </is>
      </c>
      <c r="I73" s="14" t="inlineStr">
        <is>
          <t>SELECT COUNT(t2.id) FROM League AS t1 INNER JOIN Match AS t2 ON t1.id = t2.league_id WHERE t1.name = 'Belgium Jupiler League' AND SUBSTR(t2.`date`, 1, 7) = '2009-04'</t>
        </is>
      </c>
      <c r="J73" s="15" t="n"/>
      <c r="K73" s="15" t="n"/>
      <c r="L73" s="15" t="n"/>
      <c r="M73" s="15" t="n"/>
      <c r="N73" s="15" t="n"/>
      <c r="O73" s="15" t="n"/>
      <c r="P73" s="15" t="n"/>
    </row>
    <row r="74">
      <c r="A74" s="14" t="n">
        <v>73</v>
      </c>
      <c r="B74" s="14" t="inlineStr">
        <is>
          <t>bird-dev-01093</t>
        </is>
      </c>
      <c r="C74" s="14" t="inlineStr">
        <is>
          <t>european_football_2</t>
        </is>
      </c>
      <c r="D74" s="14" t="inlineStr">
        <is>
          <t>simple</t>
        </is>
      </c>
      <c r="E74" s="14" t="inlineStr">
        <is>
          <t>Give the name of the league had the most matches in the 2008/2009 season?</t>
        </is>
      </c>
      <c r="F74" s="14" t="inlineStr">
        <is>
          <t>Hãy cho biết tên giải đấu có nhiều trận đấu nhất trong mùa giải 2008/2009.</t>
        </is>
      </c>
      <c r="G74" s="14" t="inlineStr">
        <is>
          <t>league that had the most matches in the 2008/2009 season refers to MAX(league_name WHERE season = '2008/2009');</t>
        </is>
      </c>
      <c r="H74" s="14" t="inlineStr">
        <is>
          <t>giải đấu có nhiều trận đấu nhất trong mùa giải 2008/2009 tương ứng với MAX(league_name WHERE season = '2008/2009');</t>
        </is>
      </c>
      <c r="I74" s="14" t="inlineStr">
        <is>
          <t>SELECT t1.name FROM League AS t1 JOIN Match AS t2 ON t1.id = t2.league_id WHERE t2.season = '2008/2009' GROUP BY t1.name HAVING COUNT(t2.id) = (SELECT MAX(match_count) FROM (SELECT COUNT(t2.id) AS match_count FROM Match AS t2 WHERE t2.season = '2008/2009' GROUP BY t2.league_id))</t>
        </is>
      </c>
      <c r="J74" s="15" t="n"/>
      <c r="K74" s="15" t="n"/>
      <c r="L74" s="15" t="n"/>
      <c r="M74" s="15" t="n"/>
      <c r="N74" s="15" t="n"/>
      <c r="O74" s="15" t="n"/>
      <c r="P74" s="15" t="n"/>
    </row>
    <row r="75">
      <c r="A75" s="14" t="n">
        <v>74</v>
      </c>
      <c r="B75" s="14" t="inlineStr">
        <is>
          <t>bird-dev-01101</t>
        </is>
      </c>
      <c r="C75" s="14" t="inlineStr">
        <is>
          <t>european_football_2</t>
        </is>
      </c>
      <c r="D75" s="14" t="inlineStr">
        <is>
          <t>simple</t>
        </is>
      </c>
      <c r="E75" s="14" t="inlineStr">
        <is>
          <t>What is the highest overall rating received by Dorlan Pabon?</t>
        </is>
      </c>
      <c r="F75" s="14" t="inlineStr">
        <is>
          <t>Điểm đánh giá chung cao nhất mà Dorlan Pabon đã nhận được là bao nhiêu?</t>
        </is>
      </c>
      <c r="G75" s="14" t="inlineStr">
        <is>
          <t>Dorlan Pabon refers to T2.player_name = 'Dorlan Pabon'; highest overall rating refers to MAX(overall_rating)</t>
        </is>
      </c>
      <c r="H75" s="14" t="inlineStr">
        <is>
          <t>Dorlan Pabon tham chiếu tới T2.player_name = 'Dorlan Pabon'; điểm đánh giá chung cao nhất tham chiếu tới MAX(overall_rating)</t>
        </is>
      </c>
      <c r="I75" s="14" t="inlineStr">
        <is>
          <t>SELECT MAX(t2.overall_rating) FROM Player AS t1 INNER JOIN Player_Attributes AS t2 ON t1.player_api_id = t2.player_api_id WHERE t1.player_name = 'Dorlan Pabon'</t>
        </is>
      </c>
      <c r="J75" s="15" t="n"/>
      <c r="K75" s="15" t="n"/>
      <c r="L75" s="15" t="n"/>
      <c r="M75" s="15" t="n"/>
      <c r="N75" s="15" t="n"/>
      <c r="O75" s="15" t="n"/>
      <c r="P75" s="15" t="n"/>
    </row>
    <row r="76">
      <c r="A76" s="14" t="n">
        <v>75</v>
      </c>
      <c r="B76" s="14" t="inlineStr">
        <is>
          <t>bird-dev-01167</t>
        </is>
      </c>
      <c r="C76" s="14" t="inlineStr">
        <is>
          <t>thrombosis_prediction</t>
        </is>
      </c>
      <c r="D76" s="14" t="inlineStr">
        <is>
          <t>simple</t>
        </is>
      </c>
      <c r="E76" s="14" t="inlineStr">
        <is>
          <t>What are the symptoms observed by the youngest patient to ever did a medical examination? Identify their diagnosis.</t>
        </is>
      </c>
      <c r="F76" s="14" t="inlineStr">
        <is>
          <t>Những triệu chứng được ghi nhận ở bệnh nhân trẻ tuổi nhất từng thực hiện một lần khám sức khỏe là gì? Hãy xác định chẩn đoán của họ.</t>
        </is>
      </c>
      <c r="G76" s="14" t="inlineStr">
        <is>
          <t>The larger the birthday value, the younger the person is, and vice versa; symptoms observed refers to the symptoms is not NULL</t>
        </is>
      </c>
      <c r="H76" s="14" t="inlineStr">
        <is>
          <t>Giá trị ngày sinh càng lớn thì người đó càng trẻ, ngược lại; triệu chứng được ghi nhận tương ứng với symptoms is not NULL</t>
        </is>
      </c>
      <c r="I76" s="14" t="inlineStr">
        <is>
          <t>SELECT T2.Symptoms, T1.Diagnosis FROM Patient AS T1 INNER JOIN Examination AS T2 ON T1.ID = T2.ID WHERE T2.Symptoms IS NOT NULL ORDER BY T1.Birthday DESC LIMIT 1</t>
        </is>
      </c>
      <c r="J76" s="15" t="n"/>
      <c r="K76" s="15" t="n"/>
      <c r="L76" s="15" t="n"/>
      <c r="M76" s="15" t="n"/>
      <c r="N76" s="15" t="n"/>
      <c r="O76" s="15" t="n"/>
      <c r="P76" s="15" t="n"/>
    </row>
    <row r="77">
      <c r="A77" s="14" t="n">
        <v>76</v>
      </c>
      <c r="B77" s="14" t="inlineStr">
        <is>
          <t>bird-dev-01198</t>
        </is>
      </c>
      <c r="C77" s="14" t="inlineStr">
        <is>
          <t>thrombosis_prediction</t>
        </is>
      </c>
      <c r="D77" s="14" t="inlineStr">
        <is>
          <t>simple</t>
        </is>
      </c>
      <c r="E77" s="14" t="inlineStr">
        <is>
          <t>When was the medical information on patient number 48473 first documented, and what disease did she have?</t>
        </is>
      </c>
      <c r="F77" s="14" t="inlineStr">
        <is>
          <t>Ngày nào là lần đầu tiên lưu trữ thông tin y tế của bệnh nhân số 48473, và cô ấy bị bệnh gì?</t>
        </is>
      </c>
      <c r="G77" s="14" t="inlineStr">
        <is>
          <t>medical information first documented refers to Description; disease refers to diagnosis; patient number refers to id</t>
        </is>
      </c>
      <c r="H77" s="14" t="inlineStr">
        <is>
          <t>thông tin y tế được lưu trữ lần đầu tiên tham chiếu tới Description; bệnh tham chiếu tới diagnosis; số thứ tự của bệnh nhân tham chiếu tới id</t>
        </is>
      </c>
      <c r="I77" s="14" t="inlineStr">
        <is>
          <t>SELECT `First Date`, Diagnosis FROM Patient WHERE ID = 48473</t>
        </is>
      </c>
      <c r="J77" s="15" t="n"/>
      <c r="K77" s="15" t="n"/>
      <c r="L77" s="15" t="n"/>
      <c r="M77" s="15" t="n"/>
      <c r="N77" s="15" t="n"/>
      <c r="O77" s="15" t="n"/>
      <c r="P77" s="15" t="n"/>
    </row>
    <row r="78">
      <c r="A78" s="14" t="n">
        <v>77</v>
      </c>
      <c r="B78" s="14" t="inlineStr">
        <is>
          <t>bird-dev-01208</t>
        </is>
      </c>
      <c r="C78" s="14" t="inlineStr">
        <is>
          <t>thrombosis_prediction</t>
        </is>
      </c>
      <c r="D78" s="14" t="inlineStr">
        <is>
          <t>moderate</t>
        </is>
      </c>
      <c r="E78" s="14" t="inlineStr">
        <is>
          <t>List all patients with their sex and date of birthday, whose AST glutamic oxaloacetic transaminase (GOT) index is within normal range for loboratory examination in 1994.</t>
        </is>
      </c>
      <c r="F78" s="14" t="inlineStr">
        <is>
          <t>Liệt kê tất cả các bệnh nhân cùng với giới tính và ngày sinh của họ, những người có chỉ số AST glutamic oxaloacetic transaminase (GOT) nằm trong phạm vi bình thường cho xét nghiệm laboratory vào năm 1994.</t>
        </is>
      </c>
      <c r="G78" s="14" t="inlineStr">
        <is>
          <t>AST glutamic oxaloacetic transaminase (GOT) index is within normal range refers to GOT &lt; 60; examination in 1994 refers to year(Date) = 1994</t>
        </is>
      </c>
      <c r="H78" s="14" t="inlineStr">
        <is>
          <t>Chỉ số AST glutamic oxaloacetic transaminase (GOT) nằm trong phạm vi bình thường ám chỉ GOT &lt; 60; xét nghiệm vào năm 1994 ám chỉ year(Date) = 1994</t>
        </is>
      </c>
      <c r="I78" s="14" t="inlineStr">
        <is>
          <t>SELECT DISTINCT T1.SEX, T1.Birthday FROM Patient AS T1 INNER JOIN Laboratory AS T2 ON T1.ID = T2.ID WHERE T2.GOT &lt; 60 AND STRFTIME('%Y', T2.Date) = '1994'</t>
        </is>
      </c>
      <c r="J78" s="15" t="n"/>
      <c r="K78" s="15" t="n"/>
      <c r="L78" s="15" t="n"/>
      <c r="M78" s="15" t="n"/>
      <c r="N78" s="15" t="n"/>
      <c r="O78" s="15" t="n"/>
      <c r="P78" s="15" t="n"/>
    </row>
    <row r="79">
      <c r="A79" s="14" t="n">
        <v>78</v>
      </c>
      <c r="B79" s="14" t="inlineStr">
        <is>
          <t>bird-dev-01224</t>
        </is>
      </c>
      <c r="C79" s="14" t="inlineStr">
        <is>
          <t>thrombosis_prediction</t>
        </is>
      </c>
      <c r="D79" s="14" t="inlineStr">
        <is>
          <t>challenging</t>
        </is>
      </c>
      <c r="E79" s="14" t="inlineStr">
        <is>
          <t>Are there more male patients with creatinine not within the normal range than female? True or False?</t>
        </is>
      </c>
      <c r="F79" s="14" t="inlineStr">
        <is>
          <t>Có nhiều bệnh nhân nam hơn so với nữ có creatinine không nằm trong phạm vi bình thường không? Đúng hay Sai?</t>
        </is>
      </c>
      <c r="G79" s="14" t="inlineStr">
        <is>
          <t>creatinine (CRE) not within the normal range refers to CRE &gt; = 1.5; male refers to Sex = 'M'; female refers to Sex = 'F'; calculation = (SUM(SEX = 'M') &gt; SUM(SEX = 'F')) where CRE &gt; = 1.5</t>
        </is>
      </c>
      <c r="H79" s="14" t="inlineStr">
        <is>
          <t>creatinine (CRE) không nằm trong phạm vi bình thường ám chỉ CRE &gt;= 1.5; nam ám chỉ Sex = 'M'; nữ ám chỉ Sex = 'F'; phép tính = (SUM(SEX = 'M') &gt; SUM(SEX = 'F')) where CRE &gt;= 1.5</t>
        </is>
      </c>
      <c r="I79" s="14" t="inlineStr">
        <is>
          <t>SELECT CASE WHEN SUM(CASE WHEN T1.SEX = 'M' THEN 1 ELSE 0 END) &gt; SUM(CASE WHEN T1.SEX = 'F' THEN 1 ELSE 0 END) THEN 'True' ELSE 'False' END FROM Patient AS T1 INNER JOIN Laboratory AS T2 ON T1.ID = T2.ID WHERE T2.CRE &gt;= 1.5</t>
        </is>
      </c>
      <c r="J79" s="15" t="n"/>
      <c r="K79" s="15" t="n"/>
      <c r="L79" s="15" t="n"/>
      <c r="M79" s="15" t="n"/>
      <c r="N79" s="15" t="n"/>
      <c r="O79" s="15" t="n"/>
      <c r="P79" s="15" t="n"/>
    </row>
    <row r="80">
      <c r="A80" s="14" t="n">
        <v>79</v>
      </c>
      <c r="B80" s="14" t="inlineStr">
        <is>
          <t>bird-dev-01234</t>
        </is>
      </c>
      <c r="C80" s="14" t="inlineStr">
        <is>
          <t>thrombosis_prediction</t>
        </is>
      </c>
      <c r="D80" s="14" t="inlineStr">
        <is>
          <t>moderate</t>
        </is>
      </c>
      <c r="E80" s="14" t="inlineStr">
        <is>
          <t>List each patient's ID and blood glucose (GLU) index that were within normal range for patient's whose data was first recorded in 1991.</t>
        </is>
      </c>
      <c r="F80" s="14" t="inlineStr">
        <is>
          <t>Liệt kê từng ID của bệnh nhân và chỉ số đường huyết (GLU) ở mức bình thường cho những bệnh nhân có dữ liệu được ghi nhận lần đầu vào năm 1991.</t>
        </is>
      </c>
      <c r="G80" s="14" t="inlineStr">
        <is>
          <t>blood glucose (GLU) index that were within normal range refers to GLU &lt; 180; data that was first recorded in 1991 refers to year(Description) = 1991;</t>
        </is>
      </c>
      <c r="H80" s="14" t="inlineStr">
        <is>
          <t>chỉ số đường huyết (GLU) ở mức bình thường tham chiếu tới GLU &lt; 180; dữ liệu được ghi nhận lần đầu vào năm 1991 tham chiếu tới year(Description) = 1991;</t>
        </is>
      </c>
      <c r="I80" s="14" t="inlineStr">
        <is>
          <t>SELECT DISTINCT T1.ID, T2.GLU FROM Patient AS T1 INNER JOIN Laboratory AS T2 ON T1.ID = T2.ID WHERE STRFTIME('%Y', T1.`First Date`) = '1991' AND T2.GLU &lt; 180</t>
        </is>
      </c>
      <c r="J80" s="15" t="n"/>
      <c r="K80" s="15" t="n"/>
      <c r="L80" s="15" t="n"/>
      <c r="M80" s="15" t="n"/>
      <c r="N80" s="15" t="n"/>
      <c r="O80" s="15" t="n"/>
      <c r="P80" s="15" t="n"/>
    </row>
    <row r="81">
      <c r="A81" s="14" t="n">
        <v>80</v>
      </c>
      <c r="B81" s="14" t="inlineStr">
        <is>
          <t>bird-dev-01236</t>
        </is>
      </c>
      <c r="C81" s="14" t="inlineStr">
        <is>
          <t>thrombosis_prediction</t>
        </is>
      </c>
      <c r="D81" s="14" t="inlineStr">
        <is>
          <t>moderate</t>
        </is>
      </c>
      <c r="E81" s="14" t="inlineStr">
        <is>
          <t>What are the patient's diagnosis for those who has lower red blood blood cell? State their ID and age.</t>
        </is>
      </c>
      <c r="F81" s="14" t="inlineStr">
        <is>
          <t>Chẩn đoán của bệnh nhân cho những người có số lượng tế bào hồng cầu thấp hơn 3.5 là gì? Hãy cho biết ID và tuổi của họ.</t>
        </is>
      </c>
      <c r="G81" s="14" t="inlineStr">
        <is>
          <t xml:space="preserve">patient's diagnosis refers to Diagnosis; lower red blood cell refers to RBC &lt; 3.5; age = SUBTRACT(year(current_timestamp), year(Birthday)); </t>
        </is>
      </c>
      <c r="H81" s="14" t="inlineStr">
        <is>
          <t>chẩn đoán của bệnh nhân tham chiếu tới Diagnosis; số lượng tế bào hồng cầu thấp hơn 3.5 tham chiếu tới RBC &lt; 3.5; tuổi = SUBTRACT(year(current_timestamp), year(Birthday));</t>
        </is>
      </c>
      <c r="I81" s="14" t="inlineStr">
        <is>
          <t>SELECT DISTINCT T1.Diagnosis, T1.ID , STRFTIME('%Y', CURRENT_TIMESTAMP) -STRFTIME('%Y', T1.Birthday) FROM Patient AS T1 INNER JOIN Laboratory AS T2 ON T1.ID = T2.ID WHERE T2.RBC &lt; 3.5</t>
        </is>
      </c>
      <c r="J81" s="15" t="n"/>
      <c r="K81" s="15" t="n"/>
      <c r="L81" s="15" t="n"/>
      <c r="M81" s="15" t="n"/>
      <c r="N81" s="15" t="n"/>
      <c r="O81" s="15" t="n"/>
      <c r="P81" s="15" t="n"/>
    </row>
    <row r="82">
      <c r="A82" s="14" t="n">
        <v>81</v>
      </c>
      <c r="B82" s="14" t="inlineStr">
        <is>
          <t>bird-dev-01248</t>
        </is>
      </c>
      <c r="C82" s="14" t="inlineStr">
        <is>
          <t>thrombosis_prediction</t>
        </is>
      </c>
      <c r="D82" s="14" t="inlineStr">
        <is>
          <t>challenging</t>
        </is>
      </c>
      <c r="E82" s="14" t="inlineStr">
        <is>
          <t>Among the male patients who have a normal level of white blood cells, how many of them have an abnormal fibrinogen level?</t>
        </is>
      </c>
      <c r="F82" s="14" t="inlineStr">
        <is>
          <t>Trong số các bệnh nhân nam có mức độ tế bào trắng bình thường, có bao nhiêu người có mức fibrinogen bất thường?</t>
        </is>
      </c>
      <c r="G82" s="14" t="inlineStr">
        <is>
          <t>male patients refers to Sex = 'M'; normal level of white blood cells refers to WBC &gt; 3.5 and WBC &lt;9.0; abnormal fibrinogen level refers to FG &lt; = 150 or FG &gt; = 450; Don't compute repetitive ones.</t>
        </is>
      </c>
      <c r="H82" s="14" t="inlineStr">
        <is>
          <t>nam giới tham chiếu tới Sex = 'M'; mức độ tế bào trắng bình thường tham chiếu tới WBC &gt; 3.5 và WBC &lt; 9.0; mức fibrinogen bất thường tham chiếu tới FG &lt;= 150 hoặc FG &gt;= 450; không tính lặp lại.</t>
        </is>
      </c>
      <c r="I82" s="14" t="inlineStr">
        <is>
          <t>SELECT COUNT(DISTINCT T1.ID) FROM Patient AS T1 INNER JOIN Laboratory AS T2 ON T1.ID = T2.ID WHERE T2.FG &lt;= 150 OR T2.FG &gt;= 450 AND T2.WBC &gt; 3.5 AND T2.WBC &lt; 9.0 AND T1.SEX = 'M'</t>
        </is>
      </c>
      <c r="J82" s="15" t="n"/>
      <c r="K82" s="15" t="n"/>
      <c r="L82" s="15" t="n"/>
      <c r="M82" s="15" t="n"/>
      <c r="N82" s="15" t="n"/>
      <c r="O82" s="15" t="n"/>
      <c r="P82" s="15" t="n"/>
    </row>
    <row r="83">
      <c r="A83" s="14" t="n">
        <v>82</v>
      </c>
      <c r="B83" s="14" t="inlineStr">
        <is>
          <t>bird-dev-01259</t>
        </is>
      </c>
      <c r="C83" s="14" t="inlineStr">
        <is>
          <t>thrombosis_prediction</t>
        </is>
      </c>
      <c r="D83" s="14" t="inlineStr">
        <is>
          <t>moderate</t>
        </is>
      </c>
      <c r="E83" s="14" t="inlineStr">
        <is>
          <t>How many patients with a normal Rhuematoid Factor has a positive measure of degree of coagulation?</t>
        </is>
      </c>
      <c r="F83" s="14" t="inlineStr">
        <is>
          <t>Có bao nhiêu bệnh nhân có Rhuematoid Factor bình thường và có mức độ đông máu dương tính?</t>
        </is>
      </c>
      <c r="G83" s="14" t="inlineStr">
        <is>
          <t>normal Rhuematoid Factor refers TO RA IN('-', '+-'); positive measure of degree of coagulation refers to KCT = '+'; Should compute the number of distinct ones</t>
        </is>
      </c>
      <c r="H83" s="14" t="inlineStr">
        <is>
          <t>Rhuematoid Factor bình thường tham chiếu tới RA trong ('-', '+-'); mức độ đông máu dương tính tham chiếu tới KCT = '+'; nên tính số lượng các giá trị khác nhau</t>
        </is>
      </c>
      <c r="I83" s="14" t="inlineStr">
        <is>
          <t>SELECT COUNT(DISTINCT T1.ID) FROM Patient AS T1 INNER JOIN Laboratory AS T2 ON T1.ID = T2.ID INNER JOIN Examination AS T3 ON T3.ID = T2.ID WHERE (T2.RA = '-' OR T2.RA = '+-') AND T3.KCT = '+'</t>
        </is>
      </c>
      <c r="J83" s="15" t="n"/>
      <c r="K83" s="15" t="n"/>
      <c r="L83" s="15" t="n"/>
      <c r="M83" s="15" t="n"/>
      <c r="N83" s="15" t="n"/>
      <c r="O83" s="15" t="n"/>
      <c r="P83" s="15" t="n"/>
    </row>
    <row r="84">
      <c r="A84" s="14" t="n">
        <v>83</v>
      </c>
      <c r="B84" s="14" t="inlineStr">
        <is>
          <t>bird-dev-01261</t>
        </is>
      </c>
      <c r="C84" s="14" t="inlineStr">
        <is>
          <t>thrombosis_prediction</t>
        </is>
      </c>
      <c r="D84" s="14" t="inlineStr">
        <is>
          <t>simple</t>
        </is>
      </c>
      <c r="E84" s="14" t="inlineStr">
        <is>
          <t>Please list the ID of the patient whose RF is normal and who is older than 60.</t>
        </is>
      </c>
      <c r="F84" s="14" t="inlineStr">
        <is>
          <t>Vui lòng liệt kê ID của bệnh nhân có RF bình thường và lớn hơn 60 tuổi.</t>
        </is>
      </c>
      <c r="G84" s="14" t="inlineStr">
        <is>
          <t>RF is normal refers to RF &lt; 20; older than 60 = SUBTRACT((YEAR(CURDATE()), YEAR(Birthday))) &gt; 60;</t>
        </is>
      </c>
      <c r="H84" s="14" t="inlineStr">
        <is>
          <t>RF bình thường ám chỉ RF &lt; 20; lớn hơn 60 tuổi = SUBTRACT((YEAR(CURDATE()), YEAR(Birthday))) &gt; 60;</t>
        </is>
      </c>
      <c r="I84" s="14" t="inlineStr">
        <is>
          <t>SELECT T1.ID FROM Patient AS T1 INNER JOIN Laboratory AS T2 ON T1.ID = T2.ID WHERE T2.RF &lt; 20 AND STRFTIME('%Y', DATE('now')) - STRFTIME('%Y', T1.Birthday) &gt; 60</t>
        </is>
      </c>
      <c r="J84" s="15" t="n"/>
      <c r="K84" s="15" t="n"/>
      <c r="L84" s="15" t="n"/>
      <c r="M84" s="15" t="n"/>
      <c r="N84" s="15" t="n"/>
      <c r="O84" s="15" t="n"/>
      <c r="P84" s="15" t="n"/>
    </row>
    <row r="85">
      <c r="A85" s="14" t="n">
        <v>84</v>
      </c>
      <c r="B85" s="14" t="inlineStr">
        <is>
          <t>bird-dev-01279</t>
        </is>
      </c>
      <c r="C85" s="14" t="inlineStr">
        <is>
          <t>thrombosis_prediction</t>
        </is>
      </c>
      <c r="D85" s="14" t="inlineStr">
        <is>
          <t>simple</t>
        </is>
      </c>
      <c r="E85" s="14" t="inlineStr">
        <is>
          <t>Of the patients with an normal level of IGG, how many of them admitted to the hospital?</t>
        </is>
      </c>
      <c r="F85" s="14" t="inlineStr">
        <is>
          <t>Trong số các bệnh nhân có mức IGG ở mức bình thường, có bao nhiêu người được nhập viện?</t>
        </is>
      </c>
      <c r="G85" s="14" t="inlineStr">
        <is>
          <t>normal level of IGG refers to 900 &lt; IGG &lt; 2000; admitted to the hospital refers to Admission = '+';</t>
        </is>
      </c>
      <c r="H85" s="14" t="inlineStr">
        <is>
          <t>mức IGG ở mức bình thường tham chiếu tới 900 &lt; IGG &lt; 2000; nhập viện tham chiếu tới Admission = '+';</t>
        </is>
      </c>
      <c r="I85" s="14" t="inlineStr">
        <is>
          <t>SELECT COUNT(T1.ID) FROM Patient AS T1 INNER JOIN Laboratory AS T2 ON T1.ID = T2.ID WHERE T2.IGG &gt; 900 AND T2.IGG &lt;2000 AND  T1.Admission = '+'</t>
        </is>
      </c>
      <c r="J85" s="15" t="n"/>
      <c r="K85" s="15" t="n"/>
      <c r="L85" s="15" t="n"/>
      <c r="M85" s="15" t="n"/>
      <c r="N85" s="15" t="n"/>
      <c r="O85" s="15" t="n"/>
      <c r="P85" s="15" t="n"/>
    </row>
    <row r="86">
      <c r="A86" s="14" t="n">
        <v>85</v>
      </c>
      <c r="B86" s="14" t="inlineStr">
        <is>
          <t>bird-dev-01291</t>
        </is>
      </c>
      <c r="C86" s="14" t="inlineStr">
        <is>
          <t>thrombosis_prediction</t>
        </is>
      </c>
      <c r="D86" s="14" t="inlineStr">
        <is>
          <t>simple</t>
        </is>
      </c>
      <c r="E86" s="14" t="inlineStr">
        <is>
          <t>What is the examination date of the patient whose albumin is the highest in the normal range?</t>
        </is>
      </c>
      <c r="F86" s="14" t="inlineStr">
        <is>
          <t>Ngày thực hiện xét nghiệm của bệnh nhân có albumin cao nhất trong khoảng giá trị bình thường là gì?</t>
        </is>
      </c>
      <c r="G86" s="14" t="inlineStr">
        <is>
          <t>examination date refers to Date; albumin is the highest in the normal range refers to MAX(ALB &gt; 3.5 and ALB &lt; 5.5);</t>
        </is>
      </c>
      <c r="H86" s="14" t="inlineStr">
        <is>
          <t>ngày thực hiện xét nghiệm tham chiếu tới Date; albumin cao nhất trong khoảng giá trị bình thường tham chiếu tới MAX(ALB &gt; 3.5 and ALB &lt; 5.5);</t>
        </is>
      </c>
      <c r="I86" s="14" t="inlineStr">
        <is>
          <t>SELECT Date FROM Laboratory WHERE ALB &gt; 3.5 AND ALB &lt; 5.5 ORDER BY ALB DESC LIMIT 1</t>
        </is>
      </c>
      <c r="J86" s="15" t="n"/>
      <c r="K86" s="15" t="n"/>
      <c r="L86" s="15" t="n"/>
      <c r="M86" s="15" t="n"/>
      <c r="N86" s="15" t="n"/>
      <c r="O86" s="15" t="n"/>
      <c r="P86" s="15" t="n"/>
    </row>
    <row r="87">
      <c r="A87" s="14" t="n">
        <v>86</v>
      </c>
      <c r="B87" s="14" t="inlineStr">
        <is>
          <t>bird-dev-01299</t>
        </is>
      </c>
      <c r="C87" s="14" t="inlineStr">
        <is>
          <t>thrombosis_prediction</t>
        </is>
      </c>
      <c r="D87" s="14" t="inlineStr">
        <is>
          <t>moderate</t>
        </is>
      </c>
      <c r="E87" s="14" t="inlineStr">
        <is>
          <t>Among the patients whose total cholesterol is within the normal range, how many of them have a P pattern observed in the sheet of ANA examination?</t>
        </is>
      </c>
      <c r="F87" s="14" t="inlineStr">
        <is>
          <t>Trong số các bệnh nhân có cholesterol toàn phần nằm trong phạm vi bình thường, có bao nhiêu người có mẫu P được quan sát trên tờ kiểm tra ANA?</t>
        </is>
      </c>
      <c r="G87" s="14" t="inlineStr">
        <is>
          <t>total cholesterol is within the normal range refers to `T-CHO` &lt; 250; P pattern observed in the sheet of ANA examination refers to ANA Pattern = 'P';</t>
        </is>
      </c>
      <c r="H87" s="14" t="inlineStr">
        <is>
          <t>cholesterol toàn phần nằm trong phạm vi bình thường tham chiếu tới `T-CHO` &lt; 250; mẫu P được quan sát trên tờ kiểm tra ANA tham chiếu tới ANA Pattern = 'P';</t>
        </is>
      </c>
      <c r="I87" s="14" t="inlineStr">
        <is>
          <t>SELECT COUNT(T1.ID) FROM Patient AS T1 INNER JOIN Laboratory AS T2 ON T1.ID = T2.ID INNER JOIN Examination AS T3 ON T1.ID = T3.ID WHERE T3.`ANA Pattern` = 'P' AND T2.`T-CHO` &lt; 250</t>
        </is>
      </c>
      <c r="J87" s="15" t="n"/>
      <c r="K87" s="15" t="n"/>
      <c r="L87" s="15" t="n"/>
      <c r="M87" s="15" t="n"/>
      <c r="N87" s="15" t="n"/>
      <c r="O87" s="15" t="n"/>
      <c r="P87" s="15" t="n"/>
    </row>
    <row r="88">
      <c r="A88" s="14" t="n">
        <v>87</v>
      </c>
      <c r="B88" s="14" t="inlineStr">
        <is>
          <t>bird-dev-01321</t>
        </is>
      </c>
      <c r="C88" s="14" t="inlineStr">
        <is>
          <t>student_club</t>
        </is>
      </c>
      <c r="D88" s="14" t="inlineStr">
        <is>
          <t>simple</t>
        </is>
      </c>
      <c r="E88" s="14" t="inlineStr">
        <is>
          <t>Please list the event names of all the events attended by Maya Mclean.</t>
        </is>
      </c>
      <c r="F88" s="14" t="inlineStr">
        <is>
          <t>Vui lòng liệt kê tên các sự kiện mà Maya Mclean đã tham gia.</t>
        </is>
      </c>
      <c r="G88" s="14" t="inlineStr"/>
      <c r="H88" s="14" t="inlineStr">
        <is>
          <t>(no evidence)</t>
        </is>
      </c>
      <c r="I88" s="14" t="inlineStr">
        <is>
          <t>SELECT T1.event_name FROM event AS T1 INNER JOIN attendance AS T2 ON T1.event_id = T2.link_to_event INNER JOIN member AS T3 ON T2.link_to_member = T3.member_id WHERE T3.first_name = 'Maya' AND T3.last_name = 'Mclean'</t>
        </is>
      </c>
      <c r="J88" s="15" t="n"/>
      <c r="K88" s="15" t="n"/>
      <c r="L88" s="15" t="n"/>
      <c r="M88" s="15" t="n"/>
      <c r="N88" s="15" t="n"/>
      <c r="O88" s="15" t="n"/>
      <c r="P88" s="15" t="n"/>
    </row>
    <row r="89">
      <c r="A89" s="14" t="n">
        <v>88</v>
      </c>
      <c r="B89" s="14" t="inlineStr">
        <is>
          <t>bird-dev-01322</t>
        </is>
      </c>
      <c r="C89" s="14" t="inlineStr">
        <is>
          <t>student_club</t>
        </is>
      </c>
      <c r="D89" s="14" t="inlineStr">
        <is>
          <t>moderate</t>
        </is>
      </c>
      <c r="E89" s="14" t="inlineStr">
        <is>
          <t>How many events of the Student_Club did Sacha Harrison attend in 2019?</t>
        </is>
      </c>
      <c r="F89" s="14" t="inlineStr">
        <is>
          <t>Sacha Harrison đã tham gia bao nhiêu sự kiện của Student_Club trong năm 2019?</t>
        </is>
      </c>
      <c r="G89" s="14" t="inlineStr">
        <is>
          <t>events attended in 2019 refers to YEAR(event_date) = 2019</t>
        </is>
      </c>
      <c r="H89" s="14" t="inlineStr">
        <is>
          <t>các sự kiện được tham gia vào năm 2019 tương ứng với YEAR(event_date) = 2019</t>
        </is>
      </c>
      <c r="I89" s="14" t="inlineStr">
        <is>
          <t>SELECT COUNT(T1.event_id) FROM event AS T1 INNER JOIN attendance AS T2 ON T1.event_id = T2.link_to_event INNER JOIN member AS T3 ON T2.link_to_member = T3.member_id WHERE T3.first_name = 'Sacha' AND T3.last_name = 'Harrison' AND SUBSTR(T1.event_date, 1, 4) = '2019'</t>
        </is>
      </c>
      <c r="J89" s="15" t="n"/>
      <c r="K89" s="15" t="n"/>
      <c r="L89" s="15" t="n"/>
      <c r="M89" s="15" t="n"/>
      <c r="N89" s="15" t="n"/>
      <c r="O89" s="15" t="n"/>
      <c r="P89" s="15" t="n"/>
    </row>
    <row r="90">
      <c r="A90" s="14" t="n">
        <v>89</v>
      </c>
      <c r="B90" s="14" t="inlineStr">
        <is>
          <t>bird-dev-01358</t>
        </is>
      </c>
      <c r="C90" s="14" t="inlineStr">
        <is>
          <t>student_club</t>
        </is>
      </c>
      <c r="D90" s="14" t="inlineStr">
        <is>
          <t>simple</t>
        </is>
      </c>
      <c r="E90" s="14" t="inlineStr">
        <is>
          <t>State the date Connor Hilton paid his/her dues.</t>
        </is>
      </c>
      <c r="F90" s="14" t="inlineStr">
        <is>
          <t>Hãy cho biết ngày Connor Hilton đã đóng phí hội viên.</t>
        </is>
      </c>
      <c r="G90" s="14" t="inlineStr">
        <is>
          <t>Connor Hilton is the full name; full name refers to first_name, last_name; date the dues was paid refers to date_received where source = 'Dues';</t>
        </is>
      </c>
      <c r="H90" s="14" t="inlineStr">
        <is>
          <t>Connor Hilton là tên đầy đủ; tên đầy đủ tham chiếu tới first_name, last_name; ngày đóng phí hội viên tham chiếu tới date_received với điều kiện source = 'Dues';</t>
        </is>
      </c>
      <c r="I90" s="14" t="inlineStr">
        <is>
          <t>SELECT T2.date_received FROM member AS T1 INNER JOIN income AS T2 ON T1.member_id = T2.link_to_member WHERE T1.first_name = 'Connor' AND T1.last_name = 'Hilton' AND T2.source = 'Dues'</t>
        </is>
      </c>
      <c r="J90" s="15" t="n"/>
      <c r="K90" s="15" t="n"/>
      <c r="L90" s="15" t="n"/>
      <c r="M90" s="15" t="n"/>
      <c r="N90" s="15" t="n"/>
      <c r="O90" s="15" t="n"/>
      <c r="P90" s="15" t="n"/>
    </row>
    <row r="91">
      <c r="A91" s="14" t="n">
        <v>90</v>
      </c>
      <c r="B91" s="14" t="inlineStr">
        <is>
          <t>bird-dev-01360</t>
        </is>
      </c>
      <c r="C91" s="14" t="inlineStr">
        <is>
          <t>student_club</t>
        </is>
      </c>
      <c r="D91" s="14" t="inlineStr">
        <is>
          <t>challenging</t>
        </is>
      </c>
      <c r="E91" s="14" t="inlineStr">
        <is>
          <t>How many times was the budget in Advertisement for "Yearly Kickoff" meeting more than "October Meeting"?</t>
        </is>
      </c>
      <c r="F91" s="14" t="inlineStr">
        <is>
          <t>Ngân sách trong mục Advertisement cho cuộc họp Yearly Kickoff nhiều hơn cuộc họp October Meeting bao nhiêu lần?</t>
        </is>
      </c>
      <c r="G91" s="14" t="inlineStr">
        <is>
          <t>budget in Advertisement refer to category = 'Advertisement' in the budget table; DIVIDE(SUM(amount when event_name = 'Yearly Kickoff'), SUM(amount when event_name = 'October Meeting'))</t>
        </is>
      </c>
      <c r="H91" s="14" t="inlineStr">
        <is>
          <t>ngân sách trong mục Advertisement tương ứng với category = 'Advertisement' trong bảng budget; DIVIDE(SUM(amount khi event_name = 'Yearly Kickoff'), SUM(amount khi event_name = 'October Meeting'))</t>
        </is>
      </c>
      <c r="I91" s="14"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J91" s="15" t="n"/>
      <c r="K91" s="15" t="n"/>
      <c r="L91" s="15" t="n"/>
      <c r="M91" s="15" t="n"/>
      <c r="N91" s="15" t="n"/>
      <c r="O91" s="15" t="n"/>
      <c r="P91" s="15" t="n"/>
    </row>
    <row r="92">
      <c r="A92" s="14" t="n">
        <v>91</v>
      </c>
      <c r="B92" s="14" t="inlineStr">
        <is>
          <t>bird-dev-01376</t>
        </is>
      </c>
      <c r="C92" s="14" t="inlineStr">
        <is>
          <t>student_club</t>
        </is>
      </c>
      <c r="D92" s="14" t="inlineStr">
        <is>
          <t>moderate</t>
        </is>
      </c>
      <c r="E92" s="14" t="inlineStr">
        <is>
          <t>List all the members of the "School of Applied Sciences, Technology and Education" department.</t>
        </is>
      </c>
      <c r="F92" s="14" t="inlineStr">
        <is>
          <t>Liệt kê tất cả các thành viên thuộc khoa "School of Applied Sciences, Technology and Education".</t>
        </is>
      </c>
      <c r="G92" s="14" t="inlineStr">
        <is>
          <t>list all members means to list all the full name; full name refers to first_name, last_name;</t>
        </is>
      </c>
      <c r="H92" s="14" t="inlineStr">
        <is>
          <t>liệt kê tất cả các thành viên có nghĩa là liệt kê tất cả họ tên đầy đủ; họ tên đầy đủ tham chiếu tới first_name, last_name;</t>
        </is>
      </c>
      <c r="I92" s="14" t="inlineStr">
        <is>
          <t>SELECT T1.first_name, T1.last_name FROM member AS T1 INNER JOIN major AS T2 ON T1.link_to_major = T2.major_id WHERE T2.department = 'School of Applied Sciences, Technology and Education'</t>
        </is>
      </c>
      <c r="J92" s="15" t="n"/>
      <c r="K92" s="15" t="n"/>
      <c r="L92" s="15" t="n"/>
      <c r="M92" s="15" t="n"/>
      <c r="N92" s="15" t="n"/>
      <c r="O92" s="15" t="n"/>
      <c r="P92" s="15" t="n"/>
    </row>
    <row r="93">
      <c r="A93" s="14" t="n">
        <v>92</v>
      </c>
      <c r="B93" s="14" t="inlineStr">
        <is>
          <t>bird-dev-01382</t>
        </is>
      </c>
      <c r="C93" s="14" t="inlineStr">
        <is>
          <t>student_club</t>
        </is>
      </c>
      <c r="D93" s="14" t="inlineStr">
        <is>
          <t>moderate</t>
        </is>
      </c>
      <c r="E93" s="14" t="inlineStr">
        <is>
          <t>List the name of students that have attended more than 7 events.</t>
        </is>
      </c>
      <c r="F93" s="14" t="inlineStr">
        <is>
          <t>Liệt kê tên của các sinh viên đã tham gia hơn 7 sự kiện.</t>
        </is>
      </c>
      <c r="G93" s="14" t="inlineStr">
        <is>
          <t>name of students means the full name; full name refers to first_name, last_name; attended more than 7 events refers to COUNT(link_to_event) &gt; 7</t>
        </is>
      </c>
      <c r="H93" s="14" t="inlineStr">
        <is>
          <t>tên của sinh viên ám chỉ đầy đủ tên; đầy đủ tên tương ứng với first_name, last_name; tham gia hơn 7 sự kiện ám chỉ COUNT(link_to_event) &gt; 7</t>
        </is>
      </c>
      <c r="I93" s="14" t="inlineStr">
        <is>
          <t>SELECT T1.first_name, T1.last_name FROM member AS T1 INNER JOIN attendance AS T2 ON T1.member_id = T2.link_to_member GROUP BY T2.link_to_member HAVING COUNT(T2.link_to_event) &gt; 7</t>
        </is>
      </c>
      <c r="J93" s="15" t="n"/>
      <c r="K93" s="15" t="n"/>
      <c r="L93" s="15" t="n"/>
      <c r="M93" s="15" t="n"/>
      <c r="N93" s="15" t="n"/>
      <c r="O93" s="15" t="n"/>
      <c r="P93" s="15" t="n"/>
    </row>
    <row r="94">
      <c r="A94" s="14" t="n">
        <v>93</v>
      </c>
      <c r="B94" s="14" t="inlineStr">
        <is>
          <t>bird-dev-01401</t>
        </is>
      </c>
      <c r="C94" s="14" t="inlineStr">
        <is>
          <t>student_club</t>
        </is>
      </c>
      <c r="D94" s="14" t="inlineStr">
        <is>
          <t>moderate</t>
        </is>
      </c>
      <c r="E94" s="14" t="inlineStr">
        <is>
          <t>Among all events hold by the Student_Club in 2019, find the percentage share of events related to 'Community Service'</t>
        </is>
      </c>
      <c r="F94" s="14" t="inlineStr">
        <is>
          <t>Trong tất cả các sự kiện do Student_Club tổ chức vào năm 2019, hãy tìm tỷ lệ phần trăm các sự kiện liên quan đến 'Community Service'.</t>
        </is>
      </c>
      <c r="G94" s="14" t="inlineStr">
        <is>
          <t>DIVIDE(SUM(type = 'Community Service'), COUNT(event_id)) * 100 where event_date BETWEEN' 2019-01-01' and '2019-12-31'</t>
        </is>
      </c>
      <c r="H94" s="14" t="inlineStr">
        <is>
          <t>DIVIDE(SUM(type = 'Community Service'), COUNT(event_id)) * 100 where event_date BETWEEN' 2019-01-01' and '2019-12-31'</t>
        </is>
      </c>
      <c r="I94" s="14" t="inlineStr">
        <is>
          <t>SELECT CAST(SUM(CASE WHEN type = 'Community Service' THEN 1 ELSE 0 END) AS REAL) * 100 / COUNT(type) FROM event WHERE SUBSTR(event_date, 1, 4) = '2019'</t>
        </is>
      </c>
      <c r="J94" s="15" t="n"/>
      <c r="K94" s="15" t="n"/>
      <c r="L94" s="15" t="n"/>
      <c r="M94" s="15" t="n"/>
      <c r="N94" s="15" t="n"/>
      <c r="O94" s="15" t="n"/>
      <c r="P94" s="15" t="n"/>
    </row>
    <row r="95">
      <c r="A95" s="14" t="n">
        <v>94</v>
      </c>
      <c r="B95" s="14" t="inlineStr">
        <is>
          <t>bird-dev-01404</t>
        </is>
      </c>
      <c r="C95" s="14" t="inlineStr">
        <is>
          <t>student_club</t>
        </is>
      </c>
      <c r="D95" s="14" t="inlineStr">
        <is>
          <t>moderate</t>
        </is>
      </c>
      <c r="E95" s="14" t="inlineStr">
        <is>
          <t>Indicate the name of the closed event whose cost has exceeded the budget the most.</t>
        </is>
      </c>
      <c r="F95" s="14" t="inlineStr">
        <is>
          <t>Hãy cho biết tên sự kiện đã đóng mà chi phí vượt quá ngân sách nhiều nhất.</t>
        </is>
      </c>
      <c r="G95" s="14" t="inlineStr">
        <is>
          <t>closed events refers to event_name where status = 'Closed'; exceed the budget the most refers to MIN(remaining) where remaining &lt; 0</t>
        </is>
      </c>
      <c r="H95" s="14" t="inlineStr">
        <is>
          <t>các sự kiện đã đóng tham chiếu tới event_name nơi status = 'Closed'; vượt quá ngân sách nhiều nhất tham chiếu tới MIN(remaining) với điều kiện remaining &lt; 0</t>
        </is>
      </c>
      <c r="I95" s="14" t="inlineStr">
        <is>
          <t>SELECT T2.event_name FROM budget AS T1 INNER JOIN event AS T2 ON T2.event_id = T1.link_to_event WHERE T1.event_status = 'Closed' AND T1.remaining &lt; 0 ORDER BY T1.remaining LIMIT 1</t>
        </is>
      </c>
      <c r="J95" s="15" t="n"/>
      <c r="K95" s="15" t="n"/>
      <c r="L95" s="15" t="n"/>
      <c r="M95" s="15" t="n"/>
      <c r="N95" s="15" t="n"/>
      <c r="O95" s="15" t="n"/>
      <c r="P95" s="15" t="n"/>
    </row>
    <row r="96">
      <c r="A96" s="14" t="n">
        <v>95</v>
      </c>
      <c r="B96" s="14" t="inlineStr">
        <is>
          <t>bird-dev-01419</t>
        </is>
      </c>
      <c r="C96" s="14" t="inlineStr">
        <is>
          <t>student_club</t>
        </is>
      </c>
      <c r="D96" s="14" t="inlineStr">
        <is>
          <t>simple</t>
        </is>
      </c>
      <c r="E96" s="14" t="inlineStr">
        <is>
          <t>Mention the category of events which were held at MU 215.</t>
        </is>
      </c>
      <c r="F96" s="14" t="inlineStr">
        <is>
          <t>Hãy nêu danh mục các sự kiện được tổ chức tại MU 215.</t>
        </is>
      </c>
      <c r="G96" s="14" t="inlineStr">
        <is>
          <t>held at MU 215 refers to location = 'MU 215'</t>
        </is>
      </c>
      <c r="H96" s="14" t="inlineStr">
        <is>
          <t>được tổ chức tại MU 215 tương ứng với location = 'MU 215'</t>
        </is>
      </c>
      <c r="I96" s="14" t="inlineStr">
        <is>
          <t>SELECT T2.category FROM event AS T1 INNER JOIN budget AS T2 ON T1.event_id = T2.link_to_event WHERE T1.location = 'MU 215'</t>
        </is>
      </c>
      <c r="J96" s="15" t="n"/>
      <c r="K96" s="15" t="n"/>
      <c r="L96" s="15" t="n"/>
      <c r="M96" s="15" t="n"/>
      <c r="N96" s="15" t="n"/>
      <c r="O96" s="15" t="n"/>
      <c r="P96" s="15" t="n"/>
    </row>
    <row r="97">
      <c r="A97" s="14" t="n">
        <v>96</v>
      </c>
      <c r="B97" s="14" t="inlineStr">
        <is>
          <t>bird-dev-01426</t>
        </is>
      </c>
      <c r="C97" s="14" t="inlineStr">
        <is>
          <t>student_club</t>
        </is>
      </c>
      <c r="D97" s="14" t="inlineStr">
        <is>
          <t>simple</t>
        </is>
      </c>
      <c r="E97" s="14" t="inlineStr">
        <is>
          <t>In the College of Agriculture and Applied Sciences, how many majors are under the department of School of Applied Sciences, Technology and Education?</t>
        </is>
      </c>
      <c r="F97" s="14" t="inlineStr">
        <is>
          <t>Ở College of Agriculture and Applied Sciences, có bao nhiêu ngành thuộc khoa School of Applied Sciences, Technology and Education?</t>
        </is>
      </c>
      <c r="G97" s="14" t="inlineStr"/>
      <c r="H97" s="14" t="inlineStr">
        <is>
          <t>(no evidence)</t>
        </is>
      </c>
      <c r="I97" s="14" t="inlineStr">
        <is>
          <t>SELECT COUNT(major_id) FROM major WHERE department = 'School of Applied Sciences, Technology and Education' AND college = 'College of Agriculture and Applied Sciences'</t>
        </is>
      </c>
      <c r="J97" s="15" t="n"/>
      <c r="K97" s="15" t="n"/>
      <c r="L97" s="15" t="n"/>
      <c r="M97" s="15" t="n"/>
      <c r="N97" s="15" t="n"/>
      <c r="O97" s="15" t="n"/>
      <c r="P97" s="15" t="n"/>
    </row>
    <row r="98">
      <c r="A98" s="14" t="n">
        <v>97</v>
      </c>
      <c r="B98" s="14" t="inlineStr">
        <is>
          <t>bird-dev-01464</t>
        </is>
      </c>
      <c r="C98" s="14" t="inlineStr">
        <is>
          <t>student_club</t>
        </is>
      </c>
      <c r="D98" s="14" t="inlineStr">
        <is>
          <t>simple</t>
        </is>
      </c>
      <c r="E98" s="14" t="inlineStr">
        <is>
          <t>List the event names which were budgeted for the food.</t>
        </is>
      </c>
      <c r="F98" s="14" t="inlineStr">
        <is>
          <t>Liệt kê tên các sự kiện đã được lập ngân sách cho thực phẩm.</t>
        </is>
      </c>
      <c r="G98" s="14" t="inlineStr">
        <is>
          <t>budgeted for food refers to category = 'Food'</t>
        </is>
      </c>
      <c r="H98" s="14" t="inlineStr">
        <is>
          <t>được lập ngân sách cho thực phẩm tương ứng với category = 'Food'</t>
        </is>
      </c>
      <c r="I98" s="14" t="inlineStr">
        <is>
          <t>SELECT T1.event_name FROM event AS T1 INNER JOIN budget AS T2 ON T1.event_id = T2.link_to_event WHERE T2.category = 'Food'</t>
        </is>
      </c>
      <c r="J98" s="15" t="n"/>
      <c r="K98" s="15" t="n"/>
      <c r="L98" s="15" t="n"/>
      <c r="M98" s="15" t="n"/>
      <c r="N98" s="15" t="n"/>
      <c r="O98" s="15" t="n"/>
      <c r="P98" s="15" t="n"/>
    </row>
    <row r="99">
      <c r="A99" s="14" t="n">
        <v>98</v>
      </c>
      <c r="B99" s="14" t="inlineStr">
        <is>
          <t>bird-dev-01469</t>
        </is>
      </c>
      <c r="C99" s="14" t="inlineStr">
        <is>
          <t>student_club</t>
        </is>
      </c>
      <c r="D99" s="14" t="inlineStr">
        <is>
          <t>simple</t>
        </is>
      </c>
      <c r="E99" s="14" t="inlineStr">
        <is>
          <t>Where is the hometown of Garrett Gerke?</t>
        </is>
      </c>
      <c r="F99" s="14" t="inlineStr">
        <is>
          <t>Nước nhà của Garrett Gerke ở đâu?</t>
        </is>
      </c>
      <c r="G99" s="14" t="inlineStr">
        <is>
          <t>hometown refers to city</t>
        </is>
      </c>
      <c r="H99" s="14" t="inlineStr">
        <is>
          <t>nước nhà tham chiếu tới city</t>
        </is>
      </c>
      <c r="I99" s="14" t="inlineStr">
        <is>
          <t>SELECT T2.city FROM member AS T1 INNER JOIN zip_code AS T2 ON T2.zip_code = T1.zip WHERE T1.first_name = 'Garrett' AND T1.last_name = 'Gerke'</t>
        </is>
      </c>
      <c r="J99" s="15" t="n"/>
      <c r="K99" s="15" t="n"/>
      <c r="L99" s="15" t="n"/>
      <c r="M99" s="15" t="n"/>
      <c r="N99" s="15" t="n"/>
      <c r="O99" s="15" t="n"/>
      <c r="P99" s="15" t="n"/>
    </row>
    <row r="100">
      <c r="A100" s="14" t="n">
        <v>99</v>
      </c>
      <c r="B100" s="14" t="inlineStr">
        <is>
          <t>bird-dev-01497</t>
        </is>
      </c>
      <c r="C100" s="14" t="inlineStr">
        <is>
          <t>debit_card_specializing</t>
        </is>
      </c>
      <c r="D100" s="14" t="inlineStr">
        <is>
          <t>simple</t>
        </is>
      </c>
      <c r="E100" s="14" t="inlineStr">
        <is>
          <t>Which client segment consumed the least in September 2013?</t>
        </is>
      </c>
      <c r="F100" s="14" t="inlineStr">
        <is>
          <t>Nhóm khách hàng nào đã tiêu dùng ít nhất vào tháng 9 năm 2013?</t>
        </is>
      </c>
      <c r="G100" s="14" t="inlineStr">
        <is>
          <t>September 2013 refers to yearmonth.date = '201309'</t>
        </is>
      </c>
      <c r="H100" s="14" t="inlineStr">
        <is>
          <t>Tháng 9 năm 2013 tương ứng với yearmonth.date = '201309'</t>
        </is>
      </c>
      <c r="I100" s="14" t="inlineStr">
        <is>
          <t>SELECT T1.Segment FROM customers AS T1 INNER JOIN yearmonth AS T2 ON T1.CustomerID = T2.CustomerID WHERE T2.Date = '201309' GROUP BY T1.CustomerID ORDER BY SUM(T2.Consumption) ASC LIMIT 1</t>
        </is>
      </c>
      <c r="J100" s="15" t="n"/>
      <c r="K100" s="15" t="n"/>
      <c r="L100" s="15" t="n"/>
      <c r="M100" s="15" t="n"/>
      <c r="N100" s="15" t="n"/>
      <c r="O100" s="15" t="n"/>
      <c r="P100" s="15" t="n"/>
    </row>
    <row r="101">
      <c r="A101" s="14" t="n">
        <v>100</v>
      </c>
      <c r="B101" s="14" t="inlineStr">
        <is>
          <t>bird-dev-01533</t>
        </is>
      </c>
      <c r="C101" s="14" t="inlineStr">
        <is>
          <t>debit_card_specializing</t>
        </is>
      </c>
      <c r="D101" s="14" t="inlineStr">
        <is>
          <t>simple</t>
        </is>
      </c>
      <c r="E101" s="14" t="inlineStr">
        <is>
          <t>Which country had the gas station that sold the most expensive product id No.2 for one unit?</t>
        </is>
      </c>
      <c r="F101" s="14" t="inlineStr">
        <is>
          <t>Quốc gia nào có gas station đã bán sản phẩm có mã số 2 với giá cao nhất cho một đơn vị?</t>
        </is>
      </c>
      <c r="G101" s="14" t="inlineStr"/>
      <c r="H101" s="14" t="inlineStr">
        <is>
          <t>(no evidence)</t>
        </is>
      </c>
      <c r="I101" s="14" t="inlineStr">
        <is>
          <t>SELECT T2.Country FROM transactions_1k AS T1 INNER JOIN gasstations AS T2 ON T1.GasStationID = T2.GasStationID WHERE T1.ProductID = 2 ORDER BY T1.Price DESC LIMIT 1</t>
        </is>
      </c>
      <c r="J101" s="15" t="n"/>
      <c r="K101" s="15" t="n"/>
      <c r="L101" s="15" t="n"/>
      <c r="M101" s="15" t="n"/>
      <c r="N101" s="15" t="n"/>
      <c r="O101" s="15" t="n"/>
      <c r="P101" s="15" t="n"/>
    </row>
  </sheetData>
  <dataValidations count="5">
    <dataValidation sqref="J2:J101" showDropDown="0" showInputMessage="0" showErrorMessage="1" allowBlank="1" error="Chọn một giá trị trong danh sách." type="list">
      <formula1>'Danh mục'!$A$2:$A$4</formula1>
    </dataValidation>
    <dataValidation sqref="K2:K101" showDropDown="0" showInputMessage="0" showErrorMessage="1" allowBlank="1" error="Chọn một giá trị trong danh sách." type="list">
      <formula1>'Danh mục'!$A$2:$A$4</formula1>
    </dataValidation>
    <dataValidation sqref="N2:N101" showDropDown="0" showInputMessage="0" showErrorMessage="1" allowBlank="1" error="Chọn một giá trị trong danh sách." type="list">
      <formula1>'Danh mục'!$A$2:$A$4</formula1>
    </dataValidation>
    <dataValidation sqref="L2:L101" showDropDown="0" showInputMessage="0" showErrorMessage="1" allowBlank="1" error="Chọn một giá trị trong danh sách." type="list">
      <formula1>'Danh mục'!$B$2:$B$3</formula1>
    </dataValidation>
    <dataValidation sqref="M2:M101" showDropDown="0" showInputMessage="0" showErrorMessage="1" allowBlank="1" error="Chọn một giá trị trong danh sách." type="list">
      <formula1>'Danh mục'!$C$2:$C$9</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2026-10-29T14:35:25Z</dcterms:created>
  <dcterms:modified xsi:type="dcterms:W3CDTF">2026-10-29T14:35:25Z</dcterms:modified>
</cp:coreProperties>
</file>